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tec Plots" sheetId="1" state="visible" r:id="rId1"/>
    <sheet name="Laytec Analysis" sheetId="2" state="hidden" r:id="rId2"/>
    <sheet name="PL-Center Bow" sheetId="3" state="visible" r:id="rId3"/>
    <sheet name="PL-Total Thickness" sheetId="4" state="visible" r:id="rId4"/>
    <sheet name="PL-Barrier Al%" sheetId="5" state="visible" r:id="rId5"/>
    <sheet name="XRR-Barrier Thickness" sheetId="6" state="visible" r:id="rId6"/>
    <sheet name="XRD002-SL Pair Thickness" sheetId="7" state="visible" r:id="rId7"/>
    <sheet name="XRD002-SL AVG Al%" sheetId="8" state="visible" r:id="rId8"/>
    <sheet name="XRD222-C-AlGaN AVG Al%" sheetId="9" state="visible" r:id="rId9"/>
    <sheet name="XRD105-FWHM" sheetId="10" state="visible" r:id="rId10"/>
    <sheet name="XRD006-FWH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/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F2F2F2"/>
        <bgColor rgb="00F2F2F2"/>
      </patternFill>
    </fill>
    <fill>
      <patternFill patternType="solid">
        <fgColor rgb="00E4DFEC"/>
        <bgColor rgb="00E4DFEC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0" borderId="9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AlN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Analysis'!$D$5:$D$16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Analysis'!$D$18:$D$29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Analysis'!$D$31:$D$42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Analysis'!$D$44:$D$55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Analysis'!$D$57:$D$68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Analysis'!$AM$1:$AM$2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Analysis'!$AN$1:$AN$2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Analysis'!$AO$1:$AO$2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AlN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AlN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Analysis'!$D$5:$D$16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Analysis'!$D$18:$D$29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Analysis'!$D$31:$D$42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Analysis'!$D$44:$D$55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Analysis'!$D$57:$D$68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Analysis'!$AM$1:$AM$2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Analysis'!$AN$1:$AN$2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Analysis'!$AO$1:$AO$2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AlN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TL1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Analysis'!$E$5:$E$16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Analysis'!$E$18:$E$29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Analysis'!$E$31:$E$42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Analysis'!$E$44:$E$55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Analysis'!$E$57:$E$68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Analysis'!$AW$1:$AW$2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Analysis'!$AX$1:$AX$2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Analysis'!$AY$1:$AY$2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TL1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TL1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Analysis'!$E$5:$E$16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Analysis'!$E$18:$E$29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Analysis'!$E$31:$E$42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Analysis'!$E$44:$E$55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Analysis'!$E$57:$E$68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Analysis'!$AW$1:$AW$2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Analysis'!$AX$1:$AX$2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Analysis'!$AY$1:$AY$2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TL1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SL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Analysis'!$F$5:$F$16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Analysis'!$F$18:$F$29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Analysis'!$F$31:$F$42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Analysis'!$F$44:$F$55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Analysis'!$F$57:$F$68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Analysis'!$BG$1:$BG$2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Analysis'!$BH$1:$BH$2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Analysis'!$BI$1:$BI$2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SL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Analysis'!$F$5:$F$16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Analysis'!$F$18:$F$29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Analysis'!$F$31:$F$42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Analysis'!$F$44:$F$55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Analysis'!$F$57:$F$68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Analysis'!$BG$1:$BG$2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Analysis'!$BH$1:$BH$2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Analysis'!$BI$1:$BI$2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C-AlGaN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Analysis'!$G$5:$G$16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Analysis'!$G$18:$G$29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Analysis'!$G$31:$G$42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Analysis'!$G$44:$G$55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Analysis'!$G$57:$G$68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Analysis'!$BQ$1:$BQ$2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Analysis'!$BR$1:$BR$2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Analysis'!$BS$1:$BS$2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C-AlGaN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C-AlGaN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Analysis'!$G$5:$G$16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Analysis'!$G$18:$G$29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Analysis'!$G$31:$G$42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Analysis'!$G$44:$G$55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Analysis'!$G$57:$G$68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Analysis'!$BQ$1:$BQ$2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Analysis'!$BR$1:$BR$2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Analysis'!$BS$1:$BS$2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C-AlGaN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BB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Analysis'!$H$5:$H$16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Analysis'!$H$18:$H$29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Analysis'!$H$31:$H$42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Analysis'!$H$44:$H$55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Analysis'!$H$57:$H$68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Analysis'!$CA$1:$CA$2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Analysis'!$CB$1:$CB$2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Analysis'!$CC$1:$CC$2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BB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BB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Analysis'!$H$5:$H$16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Analysis'!$H$18:$H$29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Analysis'!$H$31:$H$42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Analysis'!$H$44:$H$55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Analysis'!$H$57:$H$68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Analysis'!$CA$1:$CA$2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Analysis'!$CB$1:$CB$2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Analysis'!$CC$1:$CC$2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BB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Analysis'!$I$5:$I$16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Analysis'!$I$18:$I$29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Analysis'!$I$31:$I$42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Analysis'!$I$44:$I$55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Analysis'!$I$57:$I$68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Analysis'!$CK$1:$CK$2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Analysis'!$CL$1:$CL$2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Analysis'!$CM$1:$CM$2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Analysis'!$I$5:$I$16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Analysis'!$I$18:$I$29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Analysis'!$I$31:$I$42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Analysis'!$I$44:$I$55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Analysis'!$I$57:$I$68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Analysis'!$CK$1:$CK$2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Analysis'!$CL$1:$CL$2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Analysis'!$CM$1:$CM$2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AlGaN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Analysis'!$J$5:$J$16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Analysis'!$J$18:$J$29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Analysis'!$J$31:$J$42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Analysis'!$J$44:$J$55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Analysis'!$J$57:$J$68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Analysis'!$CU$1:$CU$2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Analysis'!$CV$1:$CV$2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Analysis'!$CW$1:$CW$2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AlGaN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AlGaN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Analysis'!$J$5:$J$16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Analysis'!$J$18:$J$29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Analysis'!$J$31:$J$42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Analysis'!$J$44:$J$55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Analysis'!$J$57:$J$68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Analysis'!$CU$1:$CU$2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Analysis'!$CV$1:$CV$2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Analysis'!$CW$1:$CW$2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AlGaN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SL Al%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Analysis'!$K$5:$K$16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Analysis'!$K$18:$K$29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Analysis'!$K$31:$K$42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Analysis'!$K$44:$K$55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Analysis'!$K$57:$K$68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Analysis'!$DE$1:$DE$2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Analysis'!$DF$1:$DF$2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Analysis'!$DG$1:$DG$2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Al%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SL Al%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Analysis'!$K$5:$K$16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Analysis'!$K$18:$K$29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Analysis'!$K$31:$K$42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Analysis'!$K$44:$K$55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Analysis'!$K$57:$K$68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Analysis'!$DE$1:$DE$2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Analysis'!$DF$1:$DF$2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Analysis'!$DG$1:$DG$2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Al%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AlN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Analysis'!$D$5:$D$16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Analysis'!$D$18:$D$29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Analysis'!$D$31:$D$42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Analysis'!$D$44:$D$55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Analysis'!$D$57:$D$68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Analysis'!$AM$1:$AM$2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Analysis'!$AN$1:$AN$2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Analysis'!$AO$1:$AO$2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AlN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AlN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Analysis'!$D$5:$D$16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Analysis'!$D$18:$D$29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Analysis'!$D$31:$D$42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Analysis'!$D$44:$D$55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Analysis'!$D$57:$D$68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Analysis'!$AM$1:$AM$2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Analysis'!$AN$1:$AN$2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Analysis'!$AL$1:$AL$2</f>
            </numRef>
          </xVal>
          <yVal>
            <numRef>
              <f>'Laytec Analysis'!$AO$1:$AO$2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AlN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TL1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Analysis'!$E$5:$E$16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Analysis'!$E$18:$E$29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Analysis'!$E$31:$E$42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Analysis'!$E$44:$E$55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Analysis'!$E$57:$E$68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Analysis'!$AW$1:$AW$2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Analysis'!$AX$1:$AX$2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Analysis'!$AY$1:$AY$2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TL1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TL1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Analysis'!$E$5:$E$16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Analysis'!$E$18:$E$29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Analysis'!$E$31:$E$42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Analysis'!$E$44:$E$55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Analysis'!$E$57:$E$68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Analysis'!$AW$1:$AW$2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Analysis'!$AX$1:$AX$2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Analysis'!$AV$1:$AV$2</f>
            </numRef>
          </xVal>
          <yVal>
            <numRef>
              <f>'Laytec Analysis'!$AY$1:$AY$2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TL1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SL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Analysis'!$F$5:$F$16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Analysis'!$F$18:$F$29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Analysis'!$F$31:$F$42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Analysis'!$F$44:$F$55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Analysis'!$F$57:$F$68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Analysis'!$BG$1:$BG$2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Analysis'!$BH$1:$BH$2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Analysis'!$BI$1:$BI$2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SL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Analysis'!$F$5:$F$16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Analysis'!$F$18:$F$29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Analysis'!$F$31:$F$42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Analysis'!$F$44:$F$55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Analysis'!$F$57:$F$68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Analysis'!$BG$1:$BG$2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Analysis'!$BH$1:$BH$2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Analysis'!$BF$1:$BF$2</f>
            </numRef>
          </xVal>
          <yVal>
            <numRef>
              <f>'Laytec Analysis'!$BI$1:$BI$2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C-AlGaN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Analysis'!$G$5:$G$16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Analysis'!$G$18:$G$29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Analysis'!$G$31:$G$42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Analysis'!$G$44:$G$55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Analysis'!$G$57:$G$68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Analysis'!$BQ$1:$BQ$2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Analysis'!$BR$1:$BR$2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Analysis'!$BS$1:$BS$2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C-AlGaN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C-AlGaN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Analysis'!$G$5:$G$16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Analysis'!$G$18:$G$29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Analysis'!$G$31:$G$42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Analysis'!$G$44:$G$55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Analysis'!$G$57:$G$68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Analysis'!$BQ$1:$BQ$2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Analysis'!$BR$1:$BR$2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Analysis'!$BP$1:$BP$2</f>
            </numRef>
          </xVal>
          <yVal>
            <numRef>
              <f>'Laytec Analysis'!$BS$1:$BS$2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C-AlGaN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BB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Analysis'!$H$5:$H$16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Analysis'!$H$18:$H$29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Analysis'!$H$31:$H$42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Analysis'!$H$44:$H$55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Analysis'!$H$57:$H$68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Analysis'!$CA$1:$CA$2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Analysis'!$CB$1:$CB$2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Analysis'!$CC$1:$CC$2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BB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BB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Analysis'!$H$5:$H$16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Analysis'!$H$18:$H$29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Analysis'!$H$31:$H$42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Analysis'!$H$44:$H$55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Analysis'!$H$57:$H$68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Analysis'!$CA$1:$CA$2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Analysis'!$CB$1:$CB$2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Analysis'!$BZ$1:$BZ$2</f>
            </numRef>
          </xVal>
          <yVal>
            <numRef>
              <f>'Laytec Analysis'!$CC$1:$CC$2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BB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Analysis'!$I$5:$I$16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Analysis'!$I$18:$I$29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Analysis'!$I$31:$I$42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Analysis'!$I$44:$I$55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Analysis'!$I$57:$I$68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Analysis'!$CK$1:$CK$2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Analysis'!$CL$1:$CL$2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Analysis'!$CM$1:$CM$2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Analysis'!$I$5:$I$16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Analysis'!$I$18:$I$29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Analysis'!$I$31:$I$42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Analysis'!$I$44:$I$55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Analysis'!$I$57:$I$68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Analysis'!$CK$1:$CK$2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Analysis'!$CL$1:$CL$2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Analysis'!$CJ$1:$CJ$2</f>
            </numRef>
          </xVal>
          <yVal>
            <numRef>
              <f>'Laytec Analysis'!$CM$1:$CM$2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AlGaN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Analysis'!$J$5:$J$16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Analysis'!$J$18:$J$29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Analysis'!$J$31:$J$42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Analysis'!$J$44:$J$55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Analysis'!$J$57:$J$68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Analysis'!$CU$1:$CU$2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Analysis'!$CV$1:$CV$2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Analysis'!$CW$1:$CW$2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AlGaN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AlGaN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Analysis'!$J$5:$J$16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Analysis'!$J$18:$J$29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Analysis'!$J$31:$J$42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Analysis'!$J$44:$J$55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Analysis'!$J$57:$J$68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Analysis'!$CU$1:$CU$2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Analysis'!$CV$1:$CV$2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Analysis'!$CT$1:$CT$2</f>
            </numRef>
          </xVal>
          <yVal>
            <numRef>
              <f>'Laytec Analysis'!$CW$1:$CW$2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AlGaN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V3102 - SL Al%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Analysis'!$K$5:$K$16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Analysis'!$K$18:$K$29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Analysis'!$K$31:$K$42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Analysis'!$K$44:$K$55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Analysis'!$K$57:$K$68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Analysis'!$DE$1:$DE$2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Analysis'!$DF$1:$DF$2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Analysis'!$DG$1:$DG$2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Al%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V3103 - SL Al%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Analysis'!$K$5:$K$16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Analysis'!$K$18:$K$29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Analysis'!$K$31:$K$42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Analysis'!$K$44:$K$55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'Laytec Analysis'!$C$5:$C$16</f>
            </numRef>
          </xVal>
          <yVal>
            <numRef>
              <f>'Laytec Analysis'!$K$57:$K$68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Analysis'!$DE$1:$DE$2</f>
            </numRef>
          </yVal>
        </ser>
        <ser>
          <idx val="6"/>
          <order val="6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Analysis'!$DF$1:$DF$2</f>
            </numRef>
          </yVal>
        </ser>
        <ser>
          <idx val="7"/>
          <order val="7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'Laytec Analysis'!$DD$1:$DD$2</f>
            </numRef>
          </xVal>
          <yVal>
            <numRef>
              <f>'Laytec Analysis'!$DG$1:$DG$2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Al%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Center Bow Across Runs</a:t>
            </a:r>
          </a:p>
        </rich>
      </tx>
      <overlay val="0"/>
    </title>
    <plotArea>
      <scatterChart>
        <ser>
          <idx val="0"/>
          <order val="0"/>
          <tx>
            <v>V3102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'PL-Center Bow'!$B$5:$B$9</f>
            </numRef>
          </xVal>
          <yVal>
            <numRef>
              <f>'PL-Center Bow'!$F$5:$F$9</f>
            </numRef>
          </yVal>
        </ser>
        <ser>
          <idx val="1"/>
          <order val="1"/>
          <tx>
            <v>V3103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'PL-Center Bow'!$B$13:$B$17</f>
            </numRef>
          </xVal>
          <yVal>
            <numRef>
              <f>'PL-Center Bow'!$F$13:$F$17</f>
            </numRef>
          </yVal>
        </ser>
        <ser>
          <idx val="2"/>
          <order val="2"/>
          <tx>
            <v>Group 3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'PL-Center Bow'!$B$21:$B$25</f>
            </numRef>
          </xVal>
          <yVal>
            <numRef>
              <f>'PL-Center Bow'!$F$21:$F$25</f>
            </numRef>
          </yVal>
        </ser>
        <ser>
          <idx val="3"/>
          <order val="3"/>
          <tx>
            <v>Max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'PL-Center Bow'!$AA$1:$AA$2</f>
            </numRef>
          </xVal>
          <yVal>
            <numRef>
              <f>'PL-Center Bow'!$AC$1:$AC$2</f>
            </numRef>
          </yVal>
        </ser>
        <ser>
          <idx val="4"/>
          <order val="4"/>
          <tx>
            <v>Target Spec</v>
          </tx>
          <spPr>
            <a:ln w="24000">
              <a:solidFill>
                <a:srgbClr val="0099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'PL-Center Bow'!$AA$1:$AA$2</f>
            </numRef>
          </xVal>
          <yVal>
            <numRef>
              <f>'PL-Center Bow'!$AD$1:$AD$2</f>
            </numRef>
          </yVal>
        </ser>
        <ser>
          <idx val="5"/>
          <order val="5"/>
          <tx>
            <v>Min Spec</v>
          </tx>
          <spPr>
            <a:ln w="24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'PL-Center Bow'!$AA$1:$AA$2</f>
            </numRef>
          </xVal>
          <yVal>
            <numRef>
              <f>'PL-Center Bow'!$AB$1:$AB$2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Slot No.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Center Bowing (um)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Total Thickness - V3102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Thickness'!$R$7:$BB$7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Thickness'!$R$8:$BB$8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Thickness'!$R$9:$BB$9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Thickness'!$R$10:$BB$10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Thickness'!$R$11:$BB$11</f>
            </numRef>
          </yVal>
        </ser>
        <axId val="10"/>
        <axId val="20"/>
      </scatterChart>
      <valAx>
        <axId val="10"/>
        <scaling>
          <orientation val="minMax"/>
          <max val="100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Total Thickness (um)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Total Thickness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Thickness'!$R$18:$BB$18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Thickness'!$R$19:$BB$19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Thickness'!$R$20:$BB$20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Thickness'!$R$21:$BB$21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Thickness'!$R$22:$BB$22</f>
            </numRef>
          </yVal>
        </ser>
        <axId val="10"/>
        <axId val="20"/>
      </scatterChart>
      <valAx>
        <axId val="10"/>
        <scaling>
          <orientation val="minMax"/>
          <max val="100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Total Thickness (um)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Total Thickness - Group 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Thickness'!$R$29:$BB$29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Thickness'!$R$30:$BB$30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Thickness'!$R$31:$BB$31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Thickness'!$R$32:$BB$32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'PL-Total Thickness'!$R$6:$BB$6</f>
            </numRef>
          </xVal>
          <yVal>
            <numRef>
              <f>'PL-Total Thickness'!$R$33:$BB$33</f>
            </numRef>
          </yVal>
        </ser>
        <axId val="10"/>
        <axId val="20"/>
      </scatterChart>
      <valAx>
        <axId val="10"/>
        <scaling>
          <orientation val="minMax"/>
          <max val="100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Total Thickness (um)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Barrier Al% - V3102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Al%'!$S$7:$BC$7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Al%'!$S$8:$BC$8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Al%'!$S$9:$BC$9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Al%'!$S$10:$BC$10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Al%'!$S$11:$BC$11</f>
            </numRef>
          </yVal>
        </ser>
        <axId val="10"/>
        <axId val="20"/>
      </scatterChart>
      <valAx>
        <axId val="10"/>
        <scaling>
          <orientation val="minMax"/>
          <max val="100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Barrier Al (%)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Barrier Al%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Al%'!$S$18:$BC$18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Al%'!$S$19:$BC$19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Al%'!$S$20:$BC$20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Al%'!$S$21:$BC$21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Al%'!$S$22:$BC$22</f>
            </numRef>
          </yVal>
        </ser>
        <axId val="10"/>
        <axId val="20"/>
      </scatterChart>
      <valAx>
        <axId val="10"/>
        <scaling>
          <orientation val="minMax"/>
          <max val="100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Barrier Al (%)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Barrier Al% - Group 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Al%'!$S$29:$BC$29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Al%'!$S$30:$BC$30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Al%'!$S$31:$BC$31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Al%'!$S$32:$BC$32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'PL-Barrier Al%'!$S$6:$BC$6</f>
            </numRef>
          </xVal>
          <yVal>
            <numRef>
              <f>'PL-Barrier Al%'!$S$33:$BC$33</f>
            </numRef>
          </yVal>
        </ser>
        <axId val="10"/>
        <axId val="20"/>
      </scatterChart>
      <valAx>
        <axId val="10"/>
        <scaling>
          <orientation val="minMax"/>
          <max val="100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Barrier Al (%)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Barrier Thickness - V3103</a:t>
            </a:r>
          </a:p>
        </rich>
      </tx>
      <overlay val="0"/>
    </title>
    <plotArea>
      <scatterChart>
        <ser>
          <idx val="0"/>
          <order val="0"/>
          <tx>
            <v>Slot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Thickness'!$D$4:$D$8</f>
            </numRef>
          </xVal>
          <yVal>
            <numRef>
              <f>'XRR-Barrier Thickness'!$E$4:$E$8</f>
            </numRef>
          </yVal>
        </ser>
        <ser>
          <idx val="1"/>
          <order val="1"/>
          <tx>
            <v>Slot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Thickness'!$D$9:$D$13</f>
            </numRef>
          </xVal>
          <yVal>
            <numRef>
              <f>'XRR-Barrier Thickness'!$E$9:$E$13</f>
            </numRef>
          </yVal>
        </ser>
        <ser>
          <idx val="2"/>
          <order val="2"/>
          <tx>
            <v>Slot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Thickness'!$D$14:$D$18</f>
            </numRef>
          </xVal>
          <yVal>
            <numRef>
              <f>'XRR-Barrier Thickness'!$E$14:$E$18</f>
            </numRef>
          </yVal>
        </ser>
        <ser>
          <idx val="3"/>
          <order val="3"/>
          <tx>
            <v>Slot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Thickness'!$D$19:$D$23</f>
            </numRef>
          </xVal>
          <yVal>
            <numRef>
              <f>'XRR-Barrier Thickness'!$E$19:$E$23</f>
            </numRef>
          </yVal>
        </ser>
        <ser>
          <idx val="4"/>
          <order val="4"/>
          <tx>
            <v>Slot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Thickness'!$D$24:$D$28</f>
            </numRef>
          </xVal>
          <yVal>
            <numRef>
              <f>'XRR-Barrier Thickness'!$E$24:$E$28</f>
            </numRef>
          </yVal>
        </ser>
        <axId val="10"/>
        <axId val="20"/>
      </scatterChart>
      <valAx>
        <axId val="10"/>
        <scaling>
          <orientation val="minMax"/>
          <max val="104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Barrier Thickness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Barrier Thickness - V3103</a:t>
            </a:r>
          </a:p>
        </rich>
      </tx>
      <overlay val="0"/>
    </title>
    <plotArea>
      <scatterChart>
        <ser>
          <idx val="0"/>
          <order val="0"/>
          <tx>
            <v>Slot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Thickness'!$D$29:$D$33</f>
            </numRef>
          </xVal>
          <yVal>
            <numRef>
              <f>'XRR-Barrier Thickness'!$E$29:$E$33</f>
            </numRef>
          </yVal>
        </ser>
        <ser>
          <idx val="1"/>
          <order val="1"/>
          <tx>
            <v>Slot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Thickness'!$D$34:$D$38</f>
            </numRef>
          </xVal>
          <yVal>
            <numRef>
              <f>'XRR-Barrier Thickness'!$E$34:$E$38</f>
            </numRef>
          </yVal>
        </ser>
        <ser>
          <idx val="2"/>
          <order val="2"/>
          <tx>
            <v>Slot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Thickness'!$D$39:$D$43</f>
            </numRef>
          </xVal>
          <yVal>
            <numRef>
              <f>'XRR-Barrier Thickness'!$E$39:$E$43</f>
            </numRef>
          </yVal>
        </ser>
        <ser>
          <idx val="3"/>
          <order val="3"/>
          <tx>
            <v>Slot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Thickness'!$D$44:$D$48</f>
            </numRef>
          </xVal>
          <yVal>
            <numRef>
              <f>'XRR-Barrier Thickness'!$E$44:$E$48</f>
            </numRef>
          </yVal>
        </ser>
        <ser>
          <idx val="4"/>
          <order val="4"/>
          <tx>
            <v>Slot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Thickness'!$D$49:$D$53</f>
            </numRef>
          </xVal>
          <yVal>
            <numRef>
              <f>'XRR-Barrier Thickness'!$E$49:$E$53</f>
            </numRef>
          </yVal>
        </ser>
        <axId val="10"/>
        <axId val="20"/>
      </scatterChart>
      <valAx>
        <axId val="10"/>
        <scaling>
          <orientation val="minMax"/>
          <max val="104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Barrier Thickness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Barrier Thickness - V3103</a:t>
            </a:r>
          </a:p>
        </rich>
      </tx>
      <overlay val="0"/>
    </title>
    <plotArea>
      <scatterChart>
        <ser>
          <idx val="0"/>
          <order val="0"/>
          <tx>
            <v>Slot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Thickness'!$D$54:$D$58</f>
            </numRef>
          </xVal>
          <yVal>
            <numRef>
              <f>'XRR-Barrier Thickness'!$E$54:$E$58</f>
            </numRef>
          </yVal>
        </ser>
        <ser>
          <idx val="1"/>
          <order val="1"/>
          <tx>
            <v>Slot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Thickness'!$D$59:$D$63</f>
            </numRef>
          </xVal>
          <yVal>
            <numRef>
              <f>'XRR-Barrier Thickness'!$E$59:$E$63</f>
            </numRef>
          </yVal>
        </ser>
        <ser>
          <idx val="2"/>
          <order val="2"/>
          <tx>
            <v>Slot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Thickness'!$D$64:$D$68</f>
            </numRef>
          </xVal>
          <yVal>
            <numRef>
              <f>'XRR-Barrier Thickness'!$E$64:$E$68</f>
            </numRef>
          </yVal>
        </ser>
        <ser>
          <idx val="3"/>
          <order val="3"/>
          <tx>
            <v>Slot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Thickness'!$D$69:$D$73</f>
            </numRef>
          </xVal>
          <yVal>
            <numRef>
              <f>'XRR-Barrier Thickness'!$E$69:$E$73</f>
            </numRef>
          </yVal>
        </ser>
        <ser>
          <idx val="4"/>
          <order val="4"/>
          <tx>
            <v>Slot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'XRR-Barrier Thickness'!$D$74:$D$78</f>
            </numRef>
          </xVal>
          <yVal>
            <numRef>
              <f>'XRR-Barrier Thickness'!$E$74:$E$78</f>
            </numRef>
          </yVal>
        </ser>
        <axId val="10"/>
        <axId val="20"/>
      </scatterChart>
      <valAx>
        <axId val="10"/>
        <scaling>
          <orientation val="minMax"/>
          <max val="104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Barrier Thickness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SL Pair Thickness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Thickness'!$D$4:$D$6</f>
            </numRef>
          </xVal>
          <yVal>
            <numRef>
              <f>'XRD002-SL Pair Thickness'!$E$4:$E$6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Thickness'!$D$7:$D$9</f>
            </numRef>
          </xVal>
          <yVal>
            <numRef>
              <f>'XRD002-SL Pair Thickness'!$E$7:$E$9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Thickness'!$D$10:$D$12</f>
            </numRef>
          </xVal>
          <yVal>
            <numRef>
              <f>'XRD002-SL Pair Thickness'!$E$10:$E$12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Thickness'!$D$13:$D$15</f>
            </numRef>
          </xVal>
          <yVal>
            <numRef>
              <f>'XRD002-SL Pair Thickness'!$E$13:$E$15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Thickness'!$D$16:$D$18</f>
            </numRef>
          </xVal>
          <yVal>
            <numRef>
              <f>'XRD002-SL Pair Thickness'!$E$16:$E$18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Pair Thickness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SL Pair Thickness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Thickness'!$D$19:$D$21</f>
            </numRef>
          </xVal>
          <yVal>
            <numRef>
              <f>'XRD002-SL Pair Thickness'!$E$19:$E$21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Thickness'!$D$22:$D$24</f>
            </numRef>
          </xVal>
          <yVal>
            <numRef>
              <f>'XRD002-SL Pair Thickness'!$E$22:$E$24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Thickness'!$D$25:$D$27</f>
            </numRef>
          </xVal>
          <yVal>
            <numRef>
              <f>'XRD002-SL Pair Thickness'!$E$25:$E$27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Thickness'!$D$28:$D$30</f>
            </numRef>
          </xVal>
          <yVal>
            <numRef>
              <f>'XRD002-SL Pair Thickness'!$E$28:$E$30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Thickness'!$D$31:$D$33</f>
            </numRef>
          </xVal>
          <yVal>
            <numRef>
              <f>'XRD002-SL Pair Thickness'!$E$31:$E$33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Pair Thickness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SL Pair Thickness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Thickness'!$D$34:$D$36</f>
            </numRef>
          </xVal>
          <yVal>
            <numRef>
              <f>'XRD002-SL Pair Thickness'!$E$34:$E$36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Thickness'!$D$37:$D$39</f>
            </numRef>
          </xVal>
          <yVal>
            <numRef>
              <f>'XRD002-SL Pair Thickness'!$E$37:$E$39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Thickness'!$D$40:$D$42</f>
            </numRef>
          </xVal>
          <yVal>
            <numRef>
              <f>'XRD002-SL Pair Thickness'!$E$40:$E$42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Thickness'!$D$43:$D$45</f>
            </numRef>
          </xVal>
          <yVal>
            <numRef>
              <f>'XRD002-SL Pair Thickness'!$E$43:$E$45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Pair Thickness'!$D$46:$D$48</f>
            </numRef>
          </xVal>
          <yVal>
            <numRef>
              <f>'XRD002-SL Pair Thickness'!$E$46:$E$48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Pair Thickness (nm)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SL AVG Al%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Al%'!$D$4:$D$6</f>
            </numRef>
          </xVal>
          <yVal>
            <numRef>
              <f>'XRD002-SL AVG Al%'!$E$4:$E$6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Al%'!$D$7:$D$9</f>
            </numRef>
          </xVal>
          <yVal>
            <numRef>
              <f>'XRD002-SL AVG Al%'!$E$7:$E$9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Al%'!$D$10:$D$12</f>
            </numRef>
          </xVal>
          <yVal>
            <numRef>
              <f>'XRD002-SL AVG Al%'!$E$10:$E$12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Al%'!$D$13:$D$15</f>
            </numRef>
          </xVal>
          <yVal>
            <numRef>
              <f>'XRD002-SL AVG Al%'!$E$13:$E$15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Al%'!$D$16:$D$18</f>
            </numRef>
          </xVal>
          <yVal>
            <numRef>
              <f>'XRD002-SL AVG Al%'!$E$16:$E$18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AVG Al (%)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SL AVG Al%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Al%'!$D$19:$D$21</f>
            </numRef>
          </xVal>
          <yVal>
            <numRef>
              <f>'XRD002-SL AVG Al%'!$E$19:$E$21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Al%'!$D$22:$D$24</f>
            </numRef>
          </xVal>
          <yVal>
            <numRef>
              <f>'XRD002-SL AVG Al%'!$E$22:$E$24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Al%'!$D$25:$D$27</f>
            </numRef>
          </xVal>
          <yVal>
            <numRef>
              <f>'XRD002-SL AVG Al%'!$E$25:$E$27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Al%'!$D$28:$D$30</f>
            </numRef>
          </xVal>
          <yVal>
            <numRef>
              <f>'XRD002-SL AVG Al%'!$E$28:$E$30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Al%'!$D$31:$D$33</f>
            </numRef>
          </xVal>
          <yVal>
            <numRef>
              <f>'XRD002-SL AVG Al%'!$E$31:$E$33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AVG Al (%)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SL AVG Al%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Al%'!$D$34:$D$36</f>
            </numRef>
          </xVal>
          <yVal>
            <numRef>
              <f>'XRD002-SL AVG Al%'!$E$34:$E$36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Al%'!$D$37:$D$39</f>
            </numRef>
          </xVal>
          <yVal>
            <numRef>
              <f>'XRD002-SL AVG Al%'!$E$37:$E$39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Al%'!$D$40:$D$42</f>
            </numRef>
          </xVal>
          <yVal>
            <numRef>
              <f>'XRD002-SL AVG Al%'!$E$40:$E$42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Al%'!$D$43:$D$45</f>
            </numRef>
          </xVal>
          <yVal>
            <numRef>
              <f>'XRD002-SL AVG Al%'!$E$43:$E$45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'XRD002-SL AVG Al%'!$D$46:$D$48</f>
            </numRef>
          </xVal>
          <yVal>
            <numRef>
              <f>'XRD002-SL AVG Al%'!$E$46:$E$48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SL AVG Al (%)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C-AlGaN AVG Al%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Al%'!$D$4:$D$6</f>
            </numRef>
          </xVal>
          <yVal>
            <numRef>
              <f>'XRD222-C-AlGaN AVG Al%'!$E$4:$E$6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Al%'!$D$7:$D$9</f>
            </numRef>
          </xVal>
          <yVal>
            <numRef>
              <f>'XRD222-C-AlGaN AVG Al%'!$E$7:$E$9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Al%'!$D$10:$D$12</f>
            </numRef>
          </xVal>
          <yVal>
            <numRef>
              <f>'XRD222-C-AlGaN AVG Al%'!$E$10:$E$12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Al%'!$D$13:$D$15</f>
            </numRef>
          </xVal>
          <yVal>
            <numRef>
              <f>'XRD222-C-AlGaN AVG Al%'!$E$13:$E$15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Al%'!$D$16:$D$18</f>
            </numRef>
          </xVal>
          <yVal>
            <numRef>
              <f>'XRD222-C-AlGaN AVG Al%'!$E$16:$E$18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C-AlGaN AVG Al (%)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C-AlGaN AVG Al%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Al%'!$D$19:$D$21</f>
            </numRef>
          </xVal>
          <yVal>
            <numRef>
              <f>'XRD222-C-AlGaN AVG Al%'!$E$19:$E$21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Al%'!$D$22:$D$24</f>
            </numRef>
          </xVal>
          <yVal>
            <numRef>
              <f>'XRD222-C-AlGaN AVG Al%'!$E$22:$E$24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Al%'!$D$25:$D$27</f>
            </numRef>
          </xVal>
          <yVal>
            <numRef>
              <f>'XRD222-C-AlGaN AVG Al%'!$E$25:$E$27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Al%'!$D$28:$D$30</f>
            </numRef>
          </xVal>
          <yVal>
            <numRef>
              <f>'XRD222-C-AlGaN AVG Al%'!$E$28:$E$30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Al%'!$D$31:$D$33</f>
            </numRef>
          </xVal>
          <yVal>
            <numRef>
              <f>'XRD222-C-AlGaN AVG Al%'!$E$31:$E$33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C-AlGaN AVG Al (%)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C-AlGaN AVG Al%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Al%'!$D$34:$D$36</f>
            </numRef>
          </xVal>
          <yVal>
            <numRef>
              <f>'XRD222-C-AlGaN AVG Al%'!$E$34:$E$36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Al%'!$D$37:$D$39</f>
            </numRef>
          </xVal>
          <yVal>
            <numRef>
              <f>'XRD222-C-AlGaN AVG Al%'!$E$37:$E$39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Al%'!$D$40:$D$42</f>
            </numRef>
          </xVal>
          <yVal>
            <numRef>
              <f>'XRD222-C-AlGaN AVG Al%'!$E$40:$E$42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Al%'!$D$43:$D$45</f>
            </numRef>
          </xVal>
          <yVal>
            <numRef>
              <f>'XRD222-C-AlGaN AVG Al%'!$E$43:$E$45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'XRD222-C-AlGaN AVG Al%'!$D$46:$D$48</f>
            </numRef>
          </xVal>
          <yVal>
            <numRef>
              <f>'XRD222-C-AlGaN AVG Al%'!$E$46:$E$48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C-AlGaN AVG Al (%)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105 FWHM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'XRD105-FWHM'!$D$4:$D$6</f>
            </numRef>
          </xVal>
          <yVal>
            <numRef>
              <f>'XRD105-FWHM'!$E$4:$E$6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'XRD105-FWHM'!$D$7:$D$9</f>
            </numRef>
          </xVal>
          <yVal>
            <numRef>
              <f>'XRD105-FWHM'!$E$7:$E$9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'XRD105-FWHM'!$D$10:$D$12</f>
            </numRef>
          </xVal>
          <yVal>
            <numRef>
              <f>'XRD105-FWHM'!$E$10:$E$12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'XRD105-FWHM'!$D$13:$D$15</f>
            </numRef>
          </xVal>
          <yVal>
            <numRef>
              <f>'XRD105-FWHM'!$E$13:$E$15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'XRD105-FWHM'!$D$16:$D$18</f>
            </numRef>
          </xVal>
          <yVal>
            <numRef>
              <f>'XRD105-FWHM'!$E$16:$E$18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FWHM (Arcsecond)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105 FWHM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'XRD105-FWHM'!$D$19:$D$21</f>
            </numRef>
          </xVal>
          <yVal>
            <numRef>
              <f>'XRD105-FWHM'!$E$19:$E$21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'XRD105-FWHM'!$D$22:$D$24</f>
            </numRef>
          </xVal>
          <yVal>
            <numRef>
              <f>'XRD105-FWHM'!$E$22:$E$24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'XRD105-FWHM'!$D$25:$D$27</f>
            </numRef>
          </xVal>
          <yVal>
            <numRef>
              <f>'XRD105-FWHM'!$E$25:$E$27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'XRD105-FWHM'!$D$28:$D$30</f>
            </numRef>
          </xVal>
          <yVal>
            <numRef>
              <f>'XRD105-FWHM'!$E$28:$E$30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'XRD105-FWHM'!$D$31:$D$33</f>
            </numRef>
          </xVal>
          <yVal>
            <numRef>
              <f>'XRD105-FWHM'!$E$31:$E$33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FWHM (Arcsecond)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105 FWHM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'XRD105-FWHM'!$D$34:$D$36</f>
            </numRef>
          </xVal>
          <yVal>
            <numRef>
              <f>'XRD105-FWHM'!$E$34:$E$36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'XRD105-FWHM'!$D$37:$D$39</f>
            </numRef>
          </xVal>
          <yVal>
            <numRef>
              <f>'XRD105-FWHM'!$E$37:$E$39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'XRD105-FWHM'!$D$40:$D$42</f>
            </numRef>
          </xVal>
          <yVal>
            <numRef>
              <f>'XRD105-FWHM'!$E$40:$E$42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'XRD105-FWHM'!$D$43:$D$45</f>
            </numRef>
          </xVal>
          <yVal>
            <numRef>
              <f>'XRD105-FWHM'!$E$43:$E$45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'XRD105-FWHM'!$D$46:$D$48</f>
            </numRef>
          </xVal>
          <yVal>
            <numRef>
              <f>'XRD105-FWHM'!$E$46:$E$48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FWHM (Arcsecond)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006 FWHM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'XRD006-FWHM'!$D$4:$D$6</f>
            </numRef>
          </xVal>
          <yVal>
            <numRef>
              <f>'XRD006-FWHM'!$E$4:$E$6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'XRD006-FWHM'!$D$7:$D$9</f>
            </numRef>
          </xVal>
          <yVal>
            <numRef>
              <f>'XRD006-FWHM'!$E$7:$E$9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'XRD006-FWHM'!$D$10:$D$12</f>
            </numRef>
          </xVal>
          <yVal>
            <numRef>
              <f>'XRD006-FWHM'!$E$10:$E$12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'XRD006-FWHM'!$D$13:$D$15</f>
            </numRef>
          </xVal>
          <yVal>
            <numRef>
              <f>'XRD006-FWHM'!$E$13:$E$15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'XRD006-FWHM'!$D$16:$D$18</f>
            </numRef>
          </xVal>
          <yVal>
            <numRef>
              <f>'XRD006-FWHM'!$E$16:$E$18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FWHM (Arcsecond)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006 FWHM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'XRD006-FWHM'!$D$19:$D$21</f>
            </numRef>
          </xVal>
          <yVal>
            <numRef>
              <f>'XRD006-FWHM'!$E$19:$E$21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'XRD006-FWHM'!$D$22:$D$24</f>
            </numRef>
          </xVal>
          <yVal>
            <numRef>
              <f>'XRD006-FWHM'!$E$22:$E$24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'XRD006-FWHM'!$D$25:$D$27</f>
            </numRef>
          </xVal>
          <yVal>
            <numRef>
              <f>'XRD006-FWHM'!$E$25:$E$27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'XRD006-FWHM'!$D$28:$D$30</f>
            </numRef>
          </xVal>
          <yVal>
            <numRef>
              <f>'XRD006-FWHM'!$E$28:$E$30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'XRD006-FWHM'!$D$31:$D$33</f>
            </numRef>
          </xVal>
          <yVal>
            <numRef>
              <f>'XRD006-FWHM'!$E$31:$E$33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FWHM (Arcsecond)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600"/>
            </a:pPr>
            <a:r>
              <a:t>006 FWHM - V3103</a:t>
            </a:r>
          </a:p>
        </rich>
      </tx>
      <overlay val="0"/>
    </title>
    <plotArea>
      <scatterChart>
        <ser>
          <idx val="0"/>
          <order val="0"/>
          <tx>
            <v>Wafer 1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'XRD006-FWHM'!$D$34:$D$36</f>
            </numRef>
          </xVal>
          <yVal>
            <numRef>
              <f>'XRD006-FWHM'!$E$34:$E$36</f>
            </numRef>
          </yVal>
        </ser>
        <ser>
          <idx val="1"/>
          <order val="1"/>
          <tx>
            <v>Wafer 2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'XRD006-FWHM'!$D$37:$D$39</f>
            </numRef>
          </xVal>
          <yVal>
            <numRef>
              <f>'XRD006-FWHM'!$E$37:$E$39</f>
            </numRef>
          </yVal>
        </ser>
        <ser>
          <idx val="2"/>
          <order val="2"/>
          <tx>
            <v>Wafer 3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'XRD006-FWHM'!$D$40:$D$42</f>
            </numRef>
          </xVal>
          <yVal>
            <numRef>
              <f>'XRD006-FWHM'!$E$40:$E$42</f>
            </numRef>
          </yVal>
        </ser>
        <ser>
          <idx val="3"/>
          <order val="3"/>
          <tx>
            <v>Wafer 4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'XRD006-FWHM'!$D$43:$D$45</f>
            </numRef>
          </xVal>
          <yVal>
            <numRef>
              <f>'XRD006-FWHM'!$E$43:$E$45</f>
            </numRef>
          </yVal>
        </ser>
        <ser>
          <idx val="4"/>
          <order val="4"/>
          <tx>
            <v>Wafer 5</v>
          </tx>
          <spPr>
            <a:ln w="24000"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'XRD006-FWHM'!$D$46:$D$48</f>
            </numRef>
          </xVal>
          <yVal>
            <numRef>
              <f>'XRD006-FWHM'!$E$46:$E$48</f>
            </numRef>
          </yVal>
        </ser>
        <axId val="10"/>
        <axId val="20"/>
      </scatterChart>
      <valAx>
        <axId val="10"/>
        <scaling>
          <orientation val="minMax"/>
          <max val="100"/>
          <min val="-7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Radial Distance (mm)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100"/>
                </a:pPr>
                <a:r>
                  <a:t>FWHM (Arcsecond)</a:t>
                </a:r>
              </a:p>
            </rich>
          </tx>
          <overlay val="0"/>
        </title>
        <numFmt formatCode="General" sourceLinked="0"/>
        <majorTickMark val="out"/>
        <minorTickMark val="out"/>
        <tickLblPos val="low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Relationship Type="http://schemas.openxmlformats.org/officeDocument/2006/relationships/chart" Target="/xl/charts/chart21.xml" Id="rId5" /><Relationship Type="http://schemas.openxmlformats.org/officeDocument/2006/relationships/chart" Target="/xl/charts/chart22.xml" Id="rId6" /><Relationship Type="http://schemas.openxmlformats.org/officeDocument/2006/relationships/chart" Target="/xl/charts/chart23.xml" Id="rId7" /><Relationship Type="http://schemas.openxmlformats.org/officeDocument/2006/relationships/chart" Target="/xl/charts/chart24.xml" Id="rId8" /><Relationship Type="http://schemas.openxmlformats.org/officeDocument/2006/relationships/chart" Target="/xl/charts/chart25.xml" Id="rId9" /><Relationship Type="http://schemas.openxmlformats.org/officeDocument/2006/relationships/chart" Target="/xl/charts/chart26.xml" Id="rId10" /><Relationship Type="http://schemas.openxmlformats.org/officeDocument/2006/relationships/chart" Target="/xl/charts/chart27.xml" Id="rId11" /><Relationship Type="http://schemas.openxmlformats.org/officeDocument/2006/relationships/chart" Target="/xl/charts/chart28.xml" Id="rId12" /><Relationship Type="http://schemas.openxmlformats.org/officeDocument/2006/relationships/chart" Target="/xl/charts/chart29.xml" Id="rId13" /><Relationship Type="http://schemas.openxmlformats.org/officeDocument/2006/relationships/chart" Target="/xl/charts/chart30.xml" Id="rId14" /><Relationship Type="http://schemas.openxmlformats.org/officeDocument/2006/relationships/chart" Target="/xl/charts/chart31.xml" Id="rId15" /><Relationship Type="http://schemas.openxmlformats.org/officeDocument/2006/relationships/chart" Target="/xl/charts/chart32.xml" Id="rId1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4.xml" Id="rId1" /><Relationship Type="http://schemas.openxmlformats.org/officeDocument/2006/relationships/chart" Target="/xl/charts/chart35.xml" Id="rId2" /><Relationship Type="http://schemas.openxmlformats.org/officeDocument/2006/relationships/chart" Target="/xl/charts/chart36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40.xml" Id="rId1" /><Relationship Type="http://schemas.openxmlformats.org/officeDocument/2006/relationships/chart" Target="/xl/charts/chart41.xml" Id="rId2" /><Relationship Type="http://schemas.openxmlformats.org/officeDocument/2006/relationships/chart" Target="/xl/charts/chart42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 /><Relationship Type="http://schemas.openxmlformats.org/officeDocument/2006/relationships/chart" Target="/xl/charts/chart44.xml" Id="rId2" /><Relationship Type="http://schemas.openxmlformats.org/officeDocument/2006/relationships/chart" Target="/xl/charts/chart45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46.xml" Id="rId1" /><Relationship Type="http://schemas.openxmlformats.org/officeDocument/2006/relationships/chart" Target="/xl/charts/chart47.xml" Id="rId2" /><Relationship Type="http://schemas.openxmlformats.org/officeDocument/2006/relationships/chart" Target="/xl/charts/chart48.xml" Id="rId3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52.xml" Id="rId1" /><Relationship Type="http://schemas.openxmlformats.org/officeDocument/2006/relationships/chart" Target="/xl/charts/chart53.xml" Id="rId2" /><Relationship Type="http://schemas.openxmlformats.org/officeDocument/2006/relationships/chart" Target="/xl/charts/chart54.xml" Id="rId3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55.xml" Id="rId1" /><Relationship Type="http://schemas.openxmlformats.org/officeDocument/2006/relationships/chart" Target="/xl/charts/chart56.xml" Id="rId2" /><Relationship Type="http://schemas.openxmlformats.org/officeDocument/2006/relationships/chart" Target="/xl/charts/chart57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54792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4792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21</col>
      <colOff>0</colOff>
      <row>2</row>
      <rowOff>0</rowOff>
    </from>
    <ext cx="54792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31</col>
      <colOff>0</colOff>
      <row>2</row>
      <rowOff>0</rowOff>
    </from>
    <ext cx="54792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41</col>
      <colOff>0</colOff>
      <row>2</row>
      <rowOff>0</rowOff>
    </from>
    <ext cx="54792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51</col>
      <colOff>0</colOff>
      <row>2</row>
      <rowOff>0</rowOff>
    </from>
    <ext cx="54792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61</col>
      <colOff>0</colOff>
      <row>2</row>
      <rowOff>0</rowOff>
    </from>
    <ext cx="54792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71</col>
      <colOff>0</colOff>
      <row>2</row>
      <rowOff>0</rowOff>
    </from>
    <ext cx="54792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18</row>
      <rowOff>0</rowOff>
    </from>
    <ext cx="54792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11</col>
      <colOff>0</colOff>
      <row>18</row>
      <rowOff>0</rowOff>
    </from>
    <ext cx="5479200" cy="25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21</col>
      <colOff>0</colOff>
      <row>18</row>
      <rowOff>0</rowOff>
    </from>
    <ext cx="5479200" cy="25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31</col>
      <colOff>0</colOff>
      <row>18</row>
      <rowOff>0</rowOff>
    </from>
    <ext cx="5479200" cy="25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41</col>
      <colOff>0</colOff>
      <row>18</row>
      <rowOff>0</rowOff>
    </from>
    <ext cx="5479200" cy="25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51</col>
      <colOff>0</colOff>
      <row>18</row>
      <rowOff>0</rowOff>
    </from>
    <ext cx="5479200" cy="25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61</col>
      <colOff>0</colOff>
      <row>18</row>
      <rowOff>0</rowOff>
    </from>
    <ext cx="5479200" cy="25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71</col>
      <colOff>0</colOff>
      <row>18</row>
      <rowOff>0</rowOff>
    </from>
    <ext cx="5479200" cy="25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2</row>
      <rowOff>0</rowOff>
    </from>
    <ext cx="54792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2</row>
      <rowOff>0</rowOff>
    </from>
    <ext cx="54792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2</row>
      <rowOff>0</rowOff>
    </from>
    <ext cx="54792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36</col>
      <colOff>0</colOff>
      <row>2</row>
      <rowOff>0</rowOff>
    </from>
    <ext cx="54792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37</col>
      <colOff>0</colOff>
      <row>2</row>
      <rowOff>0</rowOff>
    </from>
    <ext cx="54792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46</col>
      <colOff>0</colOff>
      <row>2</row>
      <rowOff>0</rowOff>
    </from>
    <ext cx="54792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47</col>
      <colOff>0</colOff>
      <row>2</row>
      <rowOff>0</rowOff>
    </from>
    <ext cx="54792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56</col>
      <colOff>0</colOff>
      <row>2</row>
      <rowOff>0</rowOff>
    </from>
    <ext cx="54792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57</col>
      <colOff>0</colOff>
      <row>2</row>
      <rowOff>0</rowOff>
    </from>
    <ext cx="54792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66</col>
      <colOff>0</colOff>
      <row>2</row>
      <rowOff>0</rowOff>
    </from>
    <ext cx="5479200" cy="25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67</col>
      <colOff>0</colOff>
      <row>2</row>
      <rowOff>0</rowOff>
    </from>
    <ext cx="5479200" cy="25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76</col>
      <colOff>0</colOff>
      <row>2</row>
      <rowOff>0</rowOff>
    </from>
    <ext cx="5479200" cy="25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77</col>
      <colOff>0</colOff>
      <row>2</row>
      <rowOff>0</rowOff>
    </from>
    <ext cx="5479200" cy="25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86</col>
      <colOff>0</colOff>
      <row>2</row>
      <rowOff>0</rowOff>
    </from>
    <ext cx="5479200" cy="25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87</col>
      <colOff>0</colOff>
      <row>2</row>
      <rowOff>0</rowOff>
    </from>
    <ext cx="5479200" cy="25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96</col>
      <colOff>0</colOff>
      <row>2</row>
      <rowOff>0</rowOff>
    </from>
    <ext cx="5479200" cy="25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61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61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61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62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62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62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28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53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18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33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18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33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18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33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18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33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18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33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0" customWidth="1" min="14" max="14"/>
    <col width="10" customWidth="1" min="15" max="15"/>
    <col width="10" customWidth="1" min="16" max="16"/>
  </cols>
  <sheetData>
    <row r="1">
      <c r="AL1" s="1" t="n">
        <v>0</v>
      </c>
      <c r="AM1" s="1" t="n">
        <v>180</v>
      </c>
      <c r="AN1" s="1" t="n">
        <v>185</v>
      </c>
      <c r="AO1" s="1" t="n">
        <v>190</v>
      </c>
      <c r="AV1" s="1" t="n">
        <v>0</v>
      </c>
      <c r="AW1" s="1" t="n">
        <v>105</v>
      </c>
      <c r="AX1" s="1" t="n">
        <v>110</v>
      </c>
      <c r="AY1" s="1" t="n">
        <v>115</v>
      </c>
      <c r="BF1" s="1" t="n">
        <v>0</v>
      </c>
      <c r="BG1" s="1" t="n">
        <v>1950</v>
      </c>
      <c r="BH1" s="1" t="n">
        <v>2000</v>
      </c>
      <c r="BI1" s="1" t="n">
        <v>2050</v>
      </c>
      <c r="BP1" s="1" t="n">
        <v>0</v>
      </c>
      <c r="BQ1" s="1" t="n">
        <v>1090</v>
      </c>
      <c r="BR1" s="1" t="n">
        <v>1100</v>
      </c>
      <c r="BS1" s="1" t="n">
        <v>1110</v>
      </c>
      <c r="BZ1" s="1" t="n">
        <v>0</v>
      </c>
      <c r="CA1" s="1" t="n">
        <v>240</v>
      </c>
      <c r="CB1" s="1" t="n">
        <v>260</v>
      </c>
      <c r="CC1" s="1" t="n">
        <v>280</v>
      </c>
      <c r="CJ1" s="1" t="n">
        <v>0</v>
      </c>
      <c r="CK1" s="1" t="n">
        <v>160</v>
      </c>
      <c r="CL1" s="1" t="n">
        <v>170</v>
      </c>
      <c r="CM1" s="1" t="n">
        <v>180</v>
      </c>
      <c r="CT1" s="1" t="n">
        <v>0</v>
      </c>
      <c r="CU1" s="1" t="n"/>
      <c r="CV1" s="1" t="n"/>
      <c r="CW1" s="1" t="n"/>
      <c r="DD1" s="1" t="n">
        <v>0</v>
      </c>
      <c r="DE1" s="1" t="n"/>
      <c r="DF1" s="1" t="n"/>
      <c r="DG1" s="1" t="n"/>
    </row>
    <row r="2">
      <c r="AL2" s="1" t="n">
        <v>94</v>
      </c>
      <c r="AM2" s="1" t="n">
        <v>180</v>
      </c>
      <c r="AN2" s="1" t="n">
        <v>185</v>
      </c>
      <c r="AO2" s="1" t="n">
        <v>190</v>
      </c>
      <c r="AV2" s="1" t="n">
        <v>94</v>
      </c>
      <c r="AW2" s="1" t="n">
        <v>105</v>
      </c>
      <c r="AX2" s="1" t="n">
        <v>110</v>
      </c>
      <c r="AY2" s="1" t="n">
        <v>115</v>
      </c>
      <c r="BF2" s="1" t="n">
        <v>94</v>
      </c>
      <c r="BG2" s="1" t="n">
        <v>1950</v>
      </c>
      <c r="BH2" s="1" t="n">
        <v>2000</v>
      </c>
      <c r="BI2" s="1" t="n">
        <v>2050</v>
      </c>
      <c r="BP2" s="1" t="n">
        <v>94</v>
      </c>
      <c r="BQ2" s="1" t="n">
        <v>1090</v>
      </c>
      <c r="BR2" s="1" t="n">
        <v>1100</v>
      </c>
      <c r="BS2" s="1" t="n">
        <v>1110</v>
      </c>
      <c r="BZ2" s="1" t="n">
        <v>94</v>
      </c>
      <c r="CA2" s="1" t="n">
        <v>240</v>
      </c>
      <c r="CB2" s="1" t="n">
        <v>260</v>
      </c>
      <c r="CC2" s="1" t="n">
        <v>280</v>
      </c>
      <c r="CJ2" s="1" t="n">
        <v>94</v>
      </c>
      <c r="CK2" s="1" t="n">
        <v>160</v>
      </c>
      <c r="CL2" s="1" t="n">
        <v>170</v>
      </c>
      <c r="CM2" s="1" t="n">
        <v>180</v>
      </c>
      <c r="CT2" s="1" t="n">
        <v>94</v>
      </c>
      <c r="CU2" s="1" t="n"/>
      <c r="CV2" s="1" t="n"/>
      <c r="CW2" s="1" t="n"/>
      <c r="DD2" s="1" t="n">
        <v>94</v>
      </c>
      <c r="DE2" s="1" t="n"/>
      <c r="DF2" s="1" t="n"/>
      <c r="DG2" s="1" t="n"/>
    </row>
    <row r="3">
      <c r="B3" s="2" t="inlineStr">
        <is>
          <t>V3102</t>
        </is>
      </c>
      <c r="C3" s="3" t="n"/>
      <c r="D3" s="4" t="n"/>
      <c r="E3" s="4" t="n"/>
      <c r="F3" s="4" t="n"/>
      <c r="G3" s="4" t="n"/>
      <c r="H3" s="4" t="n"/>
      <c r="I3" s="4" t="n"/>
      <c r="J3" s="4" t="n"/>
      <c r="K3" s="4" t="n"/>
      <c r="L3" s="3" t="n"/>
      <c r="N3" s="2" t="inlineStr">
        <is>
          <t>SPEC (nm)</t>
        </is>
      </c>
      <c r="O3" s="4" t="n"/>
      <c r="P3" s="5" t="n"/>
    </row>
    <row r="4">
      <c r="B4" s="6" t="inlineStr">
        <is>
          <t>Wafer</t>
        </is>
      </c>
      <c r="C4" s="6" t="inlineStr">
        <is>
          <t>Coordinate</t>
        </is>
      </c>
      <c r="D4" s="6" t="inlineStr">
        <is>
          <t>AlN</t>
        </is>
      </c>
      <c r="E4" s="6" t="inlineStr">
        <is>
          <t>TL1</t>
        </is>
      </c>
      <c r="F4" s="6" t="inlineStr">
        <is>
          <t>SL</t>
        </is>
      </c>
      <c r="G4" s="6" t="inlineStr">
        <is>
          <t>C-AlGaN</t>
        </is>
      </c>
      <c r="H4" s="6" t="inlineStr">
        <is>
          <t>BB</t>
        </is>
      </c>
      <c r="I4" s="6" t="inlineStr">
        <is>
          <t>GaN</t>
        </is>
      </c>
      <c r="J4" s="6" t="inlineStr">
        <is>
          <t>AlGaN</t>
        </is>
      </c>
      <c r="K4" s="6" t="inlineStr">
        <is>
          <t>SL Al%</t>
        </is>
      </c>
      <c r="L4" s="6" t="inlineStr">
        <is>
          <t>Total Thickness</t>
        </is>
      </c>
      <c r="N4" s="6" t="inlineStr">
        <is>
          <t>AlN</t>
        </is>
      </c>
      <c r="O4" s="4" t="n"/>
      <c r="P4" s="5" t="n"/>
    </row>
    <row r="5">
      <c r="B5" s="7" t="inlineStr">
        <is>
          <t>Wafer 1</t>
        </is>
      </c>
      <c r="C5" s="7" t="n">
        <v>0</v>
      </c>
      <c r="D5" s="7" t="inlineStr">
        <is>
          <t>3.5000</t>
        </is>
      </c>
      <c r="E5" s="7" t="inlineStr">
        <is>
          <t>3.5300</t>
        </is>
      </c>
      <c r="F5" s="7" t="inlineStr">
        <is>
          <t>24.5500</t>
        </is>
      </c>
      <c r="L5" s="7">
        <f>SUM(D5:J5)</f>
        <v/>
      </c>
      <c r="N5" s="8" t="inlineStr">
        <is>
          <t>Min</t>
        </is>
      </c>
      <c r="O5" s="8" t="inlineStr">
        <is>
          <t>Target</t>
        </is>
      </c>
      <c r="P5" s="8" t="inlineStr">
        <is>
          <t>Max</t>
        </is>
      </c>
    </row>
    <row r="6">
      <c r="B6" s="9" t="n"/>
      <c r="C6" s="7" t="n">
        <v>0</v>
      </c>
      <c r="D6" s="7" t="inlineStr">
        <is>
          <t>3.5050</t>
        </is>
      </c>
      <c r="E6" s="7" t="inlineStr">
        <is>
          <t>3.5350</t>
        </is>
      </c>
      <c r="F6" s="7" t="inlineStr">
        <is>
          <t>24.5700</t>
        </is>
      </c>
      <c r="L6" s="7">
        <f>SUM(D6:J6)</f>
        <v/>
      </c>
      <c r="N6" s="7" t="n">
        <v>180</v>
      </c>
      <c r="O6" s="7" t="n">
        <v>185</v>
      </c>
      <c r="P6" s="7" t="n">
        <v>190</v>
      </c>
    </row>
    <row r="7">
      <c r="B7" s="9" t="n"/>
      <c r="C7" s="7" t="n">
        <v>10</v>
      </c>
      <c r="D7" s="7" t="inlineStr">
        <is>
          <t>3.5100</t>
        </is>
      </c>
      <c r="E7" s="7" t="inlineStr">
        <is>
          <t>3.5400</t>
        </is>
      </c>
      <c r="F7" s="7" t="inlineStr">
        <is>
          <t>24.5900</t>
        </is>
      </c>
      <c r="L7" s="7">
        <f>SUM(D7:J7)</f>
        <v/>
      </c>
      <c r="N7" s="6" t="inlineStr">
        <is>
          <t>TL1</t>
        </is>
      </c>
      <c r="O7" s="4" t="n"/>
      <c r="P7" s="5" t="n"/>
    </row>
    <row r="8">
      <c r="B8" s="9" t="n"/>
      <c r="C8" s="7" t="n">
        <v>20</v>
      </c>
      <c r="D8" s="7" t="inlineStr">
        <is>
          <t>3.5150</t>
        </is>
      </c>
      <c r="E8" s="7" t="inlineStr">
        <is>
          <t>3.5450</t>
        </is>
      </c>
      <c r="F8" s="7" t="inlineStr">
        <is>
          <t>24.6100</t>
        </is>
      </c>
      <c r="L8" s="7">
        <f>SUM(D8:J8)</f>
        <v/>
      </c>
      <c r="N8" s="8" t="inlineStr">
        <is>
          <t>Min</t>
        </is>
      </c>
      <c r="O8" s="8" t="inlineStr">
        <is>
          <t>Target</t>
        </is>
      </c>
      <c r="P8" s="8" t="inlineStr">
        <is>
          <t>Max</t>
        </is>
      </c>
    </row>
    <row r="9">
      <c r="B9" s="9" t="n"/>
      <c r="C9" s="7" t="n">
        <v>30</v>
      </c>
      <c r="D9" s="7" t="inlineStr">
        <is>
          <t>3.5200</t>
        </is>
      </c>
      <c r="E9" s="7" t="inlineStr">
        <is>
          <t>3.5500</t>
        </is>
      </c>
      <c r="F9" s="7" t="inlineStr">
        <is>
          <t>24.6300</t>
        </is>
      </c>
      <c r="L9" s="7">
        <f>SUM(D9:J9)</f>
        <v/>
      </c>
      <c r="N9" s="7" t="n">
        <v>105</v>
      </c>
      <c r="O9" s="7" t="n">
        <v>110</v>
      </c>
      <c r="P9" s="7" t="n">
        <v>115</v>
      </c>
    </row>
    <row r="10">
      <c r="B10" s="9" t="n"/>
      <c r="C10" s="7" t="n">
        <v>40</v>
      </c>
      <c r="D10" s="7" t="inlineStr">
        <is>
          <t>3.5250</t>
        </is>
      </c>
      <c r="E10" s="7" t="inlineStr">
        <is>
          <t>3.5550</t>
        </is>
      </c>
      <c r="F10" s="7" t="inlineStr">
        <is>
          <t>24.6500</t>
        </is>
      </c>
      <c r="L10" s="7">
        <f>SUM(D10:J10)</f>
        <v/>
      </c>
      <c r="N10" s="6" t="inlineStr">
        <is>
          <t>SL</t>
        </is>
      </c>
      <c r="O10" s="4" t="n"/>
      <c r="P10" s="5" t="n"/>
    </row>
    <row r="11">
      <c r="B11" s="9" t="n"/>
      <c r="C11" s="7" t="n">
        <v>50</v>
      </c>
      <c r="D11" s="7" t="inlineStr">
        <is>
          <t>3.5030</t>
        </is>
      </c>
      <c r="E11" s="7" t="inlineStr">
        <is>
          <t>3.5330</t>
        </is>
      </c>
      <c r="F11" s="7" t="inlineStr">
        <is>
          <t>24.5600</t>
        </is>
      </c>
      <c r="L11" s="7">
        <f>SUM(D11:J11)</f>
        <v/>
      </c>
      <c r="N11" s="8" t="inlineStr">
        <is>
          <t>Min</t>
        </is>
      </c>
      <c r="O11" s="8" t="inlineStr">
        <is>
          <t>Target</t>
        </is>
      </c>
      <c r="P11" s="8" t="inlineStr">
        <is>
          <t>Max</t>
        </is>
      </c>
    </row>
    <row r="12">
      <c r="B12" s="9" t="n"/>
      <c r="C12" s="7" t="n">
        <v>60</v>
      </c>
      <c r="D12" s="7" t="inlineStr">
        <is>
          <t>3.5080</t>
        </is>
      </c>
      <c r="E12" s="7" t="inlineStr">
        <is>
          <t>3.5380</t>
        </is>
      </c>
      <c r="F12" s="7" t="inlineStr">
        <is>
          <t>24.5800</t>
        </is>
      </c>
      <c r="L12" s="7">
        <f>SUM(D12:J12)</f>
        <v/>
      </c>
      <c r="N12" s="7" t="n">
        <v>1950</v>
      </c>
      <c r="O12" s="7" t="n">
        <v>2000</v>
      </c>
      <c r="P12" s="7" t="n">
        <v>2050</v>
      </c>
    </row>
    <row r="13">
      <c r="B13" s="9" t="n"/>
      <c r="C13" s="7" t="n">
        <v>70</v>
      </c>
      <c r="D13" s="7" t="inlineStr">
        <is>
          <t>3.5130</t>
        </is>
      </c>
      <c r="E13" s="7" t="inlineStr">
        <is>
          <t>3.5430</t>
        </is>
      </c>
      <c r="F13" s="7" t="inlineStr">
        <is>
          <t>24.6000</t>
        </is>
      </c>
      <c r="L13" s="7">
        <f>SUM(D13:J13)</f>
        <v/>
      </c>
      <c r="N13" s="6" t="inlineStr">
        <is>
          <t>C-AlGaN</t>
        </is>
      </c>
      <c r="O13" s="4" t="n"/>
      <c r="P13" s="5" t="n"/>
    </row>
    <row r="14">
      <c r="B14" s="9" t="n"/>
      <c r="C14" s="7" t="n">
        <v>80</v>
      </c>
      <c r="D14" s="7" t="inlineStr">
        <is>
          <t>3.5180</t>
        </is>
      </c>
      <c r="E14" s="7" t="inlineStr">
        <is>
          <t>3.5480</t>
        </is>
      </c>
      <c r="F14" s="7" t="inlineStr">
        <is>
          <t>24.6200</t>
        </is>
      </c>
      <c r="L14" s="7">
        <f>SUM(D14:J14)</f>
        <v/>
      </c>
      <c r="N14" s="8" t="inlineStr">
        <is>
          <t>Min</t>
        </is>
      </c>
      <c r="O14" s="8" t="inlineStr">
        <is>
          <t>Target</t>
        </is>
      </c>
      <c r="P14" s="8" t="inlineStr">
        <is>
          <t>Max</t>
        </is>
      </c>
    </row>
    <row r="15">
      <c r="B15" s="9" t="n"/>
      <c r="C15" s="7" t="n">
        <v>90</v>
      </c>
      <c r="D15" s="7" t="inlineStr">
        <is>
          <t>3.5230</t>
        </is>
      </c>
      <c r="E15" s="7" t="inlineStr">
        <is>
          <t>3.5530</t>
        </is>
      </c>
      <c r="F15" s="7" t="inlineStr">
        <is>
          <t>24.6400</t>
        </is>
      </c>
      <c r="L15" s="7">
        <f>SUM(D15:J15)</f>
        <v/>
      </c>
      <c r="N15" s="7" t="n">
        <v>1090</v>
      </c>
      <c r="O15" s="7" t="n">
        <v>1100</v>
      </c>
      <c r="P15" s="7" t="n">
        <v>1110</v>
      </c>
    </row>
    <row r="16">
      <c r="B16" s="10" t="n"/>
      <c r="C16" s="7" t="n">
        <v>94</v>
      </c>
      <c r="D16" s="7" t="inlineStr">
        <is>
          <t>3.5280</t>
        </is>
      </c>
      <c r="E16" s="7" t="inlineStr">
        <is>
          <t>3.5580</t>
        </is>
      </c>
      <c r="F16" s="7" t="inlineStr">
        <is>
          <t>24.6600</t>
        </is>
      </c>
      <c r="L16" s="7">
        <f>SUM(D16:J16)</f>
        <v/>
      </c>
      <c r="N16" s="6" t="inlineStr">
        <is>
          <t>BB</t>
        </is>
      </c>
      <c r="O16" s="4" t="n"/>
      <c r="P16" s="5" t="n"/>
    </row>
    <row r="17">
      <c r="B17" s="11" t="inlineStr">
        <is>
          <t>Max-Min</t>
        </is>
      </c>
      <c r="C17" s="12" t="n"/>
      <c r="D17" s="11">
        <f>MAX(D5:D16)-MIN(D5:D16)</f>
        <v/>
      </c>
      <c r="E17" s="11">
        <f>MAX(E5:E16)-MIN(E5:E16)</f>
        <v/>
      </c>
      <c r="F17" s="11">
        <f>MAX(F5:F16)-MIN(F5:F16)</f>
        <v/>
      </c>
      <c r="G17" s="11">
        <f>MAX(G5:G16)-MIN(G5:G16)</f>
        <v/>
      </c>
      <c r="H17" s="11">
        <f>MAX(H5:H16)-MIN(H5:H16)</f>
        <v/>
      </c>
      <c r="I17" s="11">
        <f>MAX(I5:I16)-MIN(I5:I16)</f>
        <v/>
      </c>
      <c r="J17" s="11">
        <f>MAX(J5:J16)-MIN(J5:J16)</f>
        <v/>
      </c>
      <c r="K17" s="11">
        <f>MAX(K5:K16)-MIN(K5:K16)</f>
        <v/>
      </c>
      <c r="L17" s="11">
        <f>MAX(L5:L16)-MIN(L5:L16)</f>
        <v/>
      </c>
      <c r="N17" s="8" t="inlineStr">
        <is>
          <t>Min</t>
        </is>
      </c>
      <c r="O17" s="8" t="inlineStr">
        <is>
          <t>Target</t>
        </is>
      </c>
      <c r="P17" s="8" t="inlineStr">
        <is>
          <t>Max</t>
        </is>
      </c>
    </row>
    <row r="18">
      <c r="B18" s="7" t="inlineStr">
        <is>
          <t>Wafer 2</t>
        </is>
      </c>
      <c r="C18" s="7" t="n">
        <v>0</v>
      </c>
      <c r="D18" s="7" t="inlineStr">
        <is>
          <t>3.5060</t>
        </is>
      </c>
      <c r="E18" s="7" t="inlineStr">
        <is>
          <t>3.5360</t>
        </is>
      </c>
      <c r="F18" s="7" t="inlineStr">
        <is>
          <t>24.5700</t>
        </is>
      </c>
      <c r="L18" s="7">
        <f>SUM(D18:J18)</f>
        <v/>
      </c>
      <c r="N18" s="7" t="n">
        <v>240</v>
      </c>
      <c r="O18" s="7" t="n">
        <v>260</v>
      </c>
      <c r="P18" s="7" t="n">
        <v>280</v>
      </c>
    </row>
    <row r="19">
      <c r="B19" s="9" t="n"/>
      <c r="C19" s="7" t="n">
        <v>0</v>
      </c>
      <c r="D19" s="7" t="inlineStr">
        <is>
          <t>3.5110</t>
        </is>
      </c>
      <c r="E19" s="7" t="inlineStr">
        <is>
          <t>3.5410</t>
        </is>
      </c>
      <c r="F19" s="7" t="inlineStr">
        <is>
          <t>24.5900</t>
        </is>
      </c>
      <c r="L19" s="7">
        <f>SUM(D19:J19)</f>
        <v/>
      </c>
      <c r="N19" s="6" t="inlineStr">
        <is>
          <t>GaN</t>
        </is>
      </c>
      <c r="O19" s="4" t="n"/>
      <c r="P19" s="5" t="n"/>
    </row>
    <row r="20">
      <c r="B20" s="9" t="n"/>
      <c r="C20" s="7" t="n">
        <v>10</v>
      </c>
      <c r="D20" s="7" t="inlineStr">
        <is>
          <t>3.5160</t>
        </is>
      </c>
      <c r="E20" s="7" t="inlineStr">
        <is>
          <t>3.5460</t>
        </is>
      </c>
      <c r="F20" s="7" t="inlineStr">
        <is>
          <t>24.6100</t>
        </is>
      </c>
      <c r="L20" s="7">
        <f>SUM(D20:J20)</f>
        <v/>
      </c>
      <c r="N20" s="8" t="inlineStr">
        <is>
          <t>Min</t>
        </is>
      </c>
      <c r="O20" s="8" t="inlineStr">
        <is>
          <t>Target</t>
        </is>
      </c>
      <c r="P20" s="8" t="inlineStr">
        <is>
          <t>Max</t>
        </is>
      </c>
    </row>
    <row r="21">
      <c r="B21" s="9" t="n"/>
      <c r="C21" s="7" t="n">
        <v>20</v>
      </c>
      <c r="D21" s="7" t="inlineStr">
        <is>
          <t>3.5210</t>
        </is>
      </c>
      <c r="E21" s="7" t="inlineStr">
        <is>
          <t>3.5510</t>
        </is>
      </c>
      <c r="F21" s="7" t="inlineStr">
        <is>
          <t>24.6300</t>
        </is>
      </c>
      <c r="L21" s="7">
        <f>SUM(D21:J21)</f>
        <v/>
      </c>
      <c r="N21" s="7" t="n">
        <v>160</v>
      </c>
      <c r="O21" s="7" t="n">
        <v>170</v>
      </c>
      <c r="P21" s="7" t="n">
        <v>180</v>
      </c>
    </row>
    <row r="22">
      <c r="B22" s="9" t="n"/>
      <c r="C22" s="7" t="n">
        <v>30</v>
      </c>
      <c r="D22" s="7" t="inlineStr">
        <is>
          <t>3.5260</t>
        </is>
      </c>
      <c r="E22" s="7" t="inlineStr">
        <is>
          <t>3.5560</t>
        </is>
      </c>
      <c r="F22" s="7" t="inlineStr">
        <is>
          <t>24.6500</t>
        </is>
      </c>
      <c r="L22" s="7">
        <f>SUM(D22:J22)</f>
        <v/>
      </c>
    </row>
    <row r="23">
      <c r="B23" s="9" t="n"/>
      <c r="C23" s="7" t="n">
        <v>40</v>
      </c>
      <c r="D23" s="7" t="inlineStr">
        <is>
          <t>3.5310</t>
        </is>
      </c>
      <c r="E23" s="7" t="inlineStr">
        <is>
          <t>3.5610</t>
        </is>
      </c>
      <c r="F23" s="7" t="inlineStr">
        <is>
          <t>24.6700</t>
        </is>
      </c>
      <c r="L23" s="7">
        <f>SUM(D23:J23)</f>
        <v/>
      </c>
      <c r="N23" s="2" t="inlineStr">
        <is>
          <t>Max-Min SPEC (um)</t>
        </is>
      </c>
      <c r="O23" s="5" t="n"/>
    </row>
    <row r="24">
      <c r="B24" s="9" t="n"/>
      <c r="C24" s="7" t="n">
        <v>50</v>
      </c>
      <c r="D24" s="7" t="inlineStr">
        <is>
          <t>3.5090</t>
        </is>
      </c>
      <c r="E24" s="7" t="inlineStr">
        <is>
          <t>3.5390</t>
        </is>
      </c>
      <c r="F24" s="7" t="inlineStr">
        <is>
          <t>24.5800</t>
        </is>
      </c>
      <c r="L24" s="7">
        <f>SUM(D24:J24)</f>
        <v/>
      </c>
      <c r="N24" s="6" t="inlineStr">
        <is>
          <t>AlN</t>
        </is>
      </c>
      <c r="O24" s="8" t="inlineStr">
        <is>
          <t>&lt; 5</t>
        </is>
      </c>
    </row>
    <row r="25">
      <c r="B25" s="9" t="n"/>
      <c r="C25" s="7" t="n">
        <v>60</v>
      </c>
      <c r="D25" s="7" t="inlineStr">
        <is>
          <t>3.5140</t>
        </is>
      </c>
      <c r="E25" s="7" t="inlineStr">
        <is>
          <t>3.5440</t>
        </is>
      </c>
      <c r="F25" s="7" t="inlineStr">
        <is>
          <t>24.6000</t>
        </is>
      </c>
      <c r="L25" s="7">
        <f>SUM(D25:J25)</f>
        <v/>
      </c>
      <c r="N25" s="6" t="inlineStr">
        <is>
          <t>TL1</t>
        </is>
      </c>
      <c r="O25" s="8" t="inlineStr">
        <is>
          <t>&lt; 5</t>
        </is>
      </c>
    </row>
    <row r="26">
      <c r="B26" s="9" t="n"/>
      <c r="C26" s="7" t="n">
        <v>70</v>
      </c>
      <c r="D26" s="7" t="inlineStr">
        <is>
          <t>3.5190</t>
        </is>
      </c>
      <c r="E26" s="7" t="inlineStr">
        <is>
          <t>3.5490</t>
        </is>
      </c>
      <c r="F26" s="7" t="inlineStr">
        <is>
          <t>24.6200</t>
        </is>
      </c>
      <c r="L26" s="7">
        <f>SUM(D26:J26)</f>
        <v/>
      </c>
      <c r="N26" s="6" t="inlineStr">
        <is>
          <t>SL</t>
        </is>
      </c>
      <c r="O26" s="8" t="inlineStr">
        <is>
          <t>&lt; 30</t>
        </is>
      </c>
    </row>
    <row r="27">
      <c r="B27" s="9" t="n"/>
      <c r="C27" s="7" t="n">
        <v>80</v>
      </c>
      <c r="D27" s="7" t="inlineStr">
        <is>
          <t>3.5240</t>
        </is>
      </c>
      <c r="E27" s="7" t="inlineStr">
        <is>
          <t>3.5540</t>
        </is>
      </c>
      <c r="F27" s="7" t="inlineStr">
        <is>
          <t>24.6400</t>
        </is>
      </c>
      <c r="L27" s="7">
        <f>SUM(D27:J27)</f>
        <v/>
      </c>
      <c r="N27" s="6" t="inlineStr">
        <is>
          <t>C-AlGaN</t>
        </is>
      </c>
      <c r="O27" s="8" t="inlineStr">
        <is>
          <t>&lt; 10</t>
        </is>
      </c>
    </row>
    <row r="28">
      <c r="B28" s="9" t="n"/>
      <c r="C28" s="7" t="n">
        <v>90</v>
      </c>
      <c r="D28" s="7" t="inlineStr">
        <is>
          <t>3.5290</t>
        </is>
      </c>
      <c r="E28" s="7" t="inlineStr">
        <is>
          <t>3.5590</t>
        </is>
      </c>
      <c r="F28" s="7" t="inlineStr">
        <is>
          <t>24.6600</t>
        </is>
      </c>
      <c r="L28" s="7">
        <f>SUM(D28:J28)</f>
        <v/>
      </c>
      <c r="N28" s="6" t="inlineStr">
        <is>
          <t>BB</t>
        </is>
      </c>
      <c r="O28" s="8" t="inlineStr">
        <is>
          <t>&lt; 10</t>
        </is>
      </c>
    </row>
    <row r="29">
      <c r="B29" s="10" t="n"/>
      <c r="C29" s="7" t="n">
        <v>94</v>
      </c>
      <c r="D29" s="7" t="inlineStr">
        <is>
          <t>3.5340</t>
        </is>
      </c>
      <c r="E29" s="7" t="inlineStr">
        <is>
          <t>3.5640</t>
        </is>
      </c>
      <c r="F29" s="7" t="inlineStr">
        <is>
          <t>24.6800</t>
        </is>
      </c>
      <c r="L29" s="7">
        <f>SUM(D29:J29)</f>
        <v/>
      </c>
      <c r="N29" s="6" t="inlineStr">
        <is>
          <t>GaN</t>
        </is>
      </c>
      <c r="O29" s="8" t="inlineStr">
        <is>
          <t>&lt; 15</t>
        </is>
      </c>
    </row>
    <row r="30">
      <c r="B30" s="11" t="inlineStr">
        <is>
          <t>Max-Min</t>
        </is>
      </c>
      <c r="C30" s="12" t="n"/>
      <c r="D30" s="11">
        <f>MAX(D18:D29)-MIN(D18:D29)</f>
        <v/>
      </c>
      <c r="E30" s="11">
        <f>MAX(E18:E29)-MIN(E18:E29)</f>
        <v/>
      </c>
      <c r="F30" s="11">
        <f>MAX(F18:F29)-MIN(F18:F29)</f>
        <v/>
      </c>
      <c r="G30" s="11">
        <f>MAX(G18:G29)-MIN(G18:G29)</f>
        <v/>
      </c>
      <c r="H30" s="11">
        <f>MAX(H18:H29)-MIN(H18:H29)</f>
        <v/>
      </c>
      <c r="I30" s="11">
        <f>MAX(I18:I29)-MIN(I18:I29)</f>
        <v/>
      </c>
      <c r="J30" s="11">
        <f>MAX(J18:J29)-MIN(J18:J29)</f>
        <v/>
      </c>
      <c r="K30" s="11">
        <f>MAX(K18:K29)-MIN(K18:K29)</f>
        <v/>
      </c>
      <c r="L30" s="11">
        <f>MAX(L18:L29)-MIN(L18:L29)</f>
        <v/>
      </c>
    </row>
    <row r="31">
      <c r="B31" s="7" t="inlineStr">
        <is>
          <t>Wafer 3</t>
        </is>
      </c>
      <c r="C31" s="7" t="n">
        <v>0</v>
      </c>
      <c r="D31" s="7" t="inlineStr">
        <is>
          <t>3.5120</t>
        </is>
      </c>
      <c r="E31" s="7" t="inlineStr">
        <is>
          <t>3.5420</t>
        </is>
      </c>
      <c r="F31" s="7" t="inlineStr">
        <is>
          <t>24.5900</t>
        </is>
      </c>
      <c r="L31" s="7">
        <f>SUM(D31:J31)</f>
        <v/>
      </c>
    </row>
    <row r="32">
      <c r="B32" s="9" t="n"/>
      <c r="C32" s="7" t="n">
        <v>0</v>
      </c>
      <c r="D32" s="7" t="inlineStr">
        <is>
          <t>3.5170</t>
        </is>
      </c>
      <c r="E32" s="7" t="inlineStr">
        <is>
          <t>3.5470</t>
        </is>
      </c>
      <c r="F32" s="7" t="inlineStr">
        <is>
          <t>24.6100</t>
        </is>
      </c>
      <c r="L32" s="7">
        <f>SUM(D32:J32)</f>
        <v/>
      </c>
    </row>
    <row r="33">
      <c r="B33" s="9" t="n"/>
      <c r="C33" s="7" t="n">
        <v>10</v>
      </c>
      <c r="D33" s="7" t="inlineStr">
        <is>
          <t>3.5220</t>
        </is>
      </c>
      <c r="E33" s="7" t="inlineStr">
        <is>
          <t>3.5520</t>
        </is>
      </c>
      <c r="F33" s="7" t="inlineStr">
        <is>
          <t>24.6300</t>
        </is>
      </c>
      <c r="L33" s="7">
        <f>SUM(D33:J33)</f>
        <v/>
      </c>
    </row>
    <row r="34">
      <c r="B34" s="9" t="n"/>
      <c r="C34" s="7" t="n">
        <v>20</v>
      </c>
      <c r="D34" s="7" t="inlineStr">
        <is>
          <t>3.5270</t>
        </is>
      </c>
      <c r="E34" s="7" t="inlineStr">
        <is>
          <t>3.5570</t>
        </is>
      </c>
      <c r="F34" s="7" t="inlineStr">
        <is>
          <t>24.6500</t>
        </is>
      </c>
      <c r="L34" s="7">
        <f>SUM(D34:J34)</f>
        <v/>
      </c>
    </row>
    <row r="35">
      <c r="B35" s="9" t="n"/>
      <c r="C35" s="7" t="n">
        <v>30</v>
      </c>
      <c r="D35" s="7" t="inlineStr">
        <is>
          <t>3.5320</t>
        </is>
      </c>
      <c r="E35" s="7" t="inlineStr">
        <is>
          <t>3.5620</t>
        </is>
      </c>
      <c r="F35" s="7" t="inlineStr">
        <is>
          <t>24.6700</t>
        </is>
      </c>
      <c r="L35" s="7">
        <f>SUM(D35:J35)</f>
        <v/>
      </c>
    </row>
    <row r="36">
      <c r="B36" s="9" t="n"/>
      <c r="C36" s="7" t="n">
        <v>40</v>
      </c>
      <c r="D36" s="7" t="inlineStr">
        <is>
          <t>3.5370</t>
        </is>
      </c>
      <c r="E36" s="7" t="inlineStr">
        <is>
          <t>3.5670</t>
        </is>
      </c>
      <c r="F36" s="7" t="inlineStr">
        <is>
          <t>24.6900</t>
        </is>
      </c>
      <c r="L36" s="7">
        <f>SUM(D36:J36)</f>
        <v/>
      </c>
    </row>
    <row r="37">
      <c r="B37" s="9" t="n"/>
      <c r="C37" s="7" t="n">
        <v>50</v>
      </c>
      <c r="D37" s="7" t="inlineStr">
        <is>
          <t>3.5150</t>
        </is>
      </c>
      <c r="E37" s="7" t="inlineStr">
        <is>
          <t>24.5000</t>
        </is>
      </c>
      <c r="F37" s="7" t="n"/>
      <c r="L37" s="7">
        <f>SUM(D37:J37)</f>
        <v/>
      </c>
    </row>
    <row r="38">
      <c r="B38" s="9" t="n"/>
      <c r="C38" s="7" t="n">
        <v>60</v>
      </c>
      <c r="D38" s="7" t="inlineStr">
        <is>
          <t>3.5200</t>
        </is>
      </c>
      <c r="E38" s="7" t="inlineStr">
        <is>
          <t>24.5200</t>
        </is>
      </c>
      <c r="F38" s="7" t="n"/>
      <c r="L38" s="7">
        <f>SUM(D38:J38)</f>
        <v/>
      </c>
    </row>
    <row r="39">
      <c r="B39" s="9" t="n"/>
      <c r="C39" s="7" t="n">
        <v>70</v>
      </c>
      <c r="D39" s="7" t="inlineStr">
        <is>
          <t>3.5250</t>
        </is>
      </c>
      <c r="E39" s="7" t="inlineStr">
        <is>
          <t>24.5400</t>
        </is>
      </c>
      <c r="F39" s="7" t="n"/>
      <c r="L39" s="7">
        <f>SUM(D39:J39)</f>
        <v/>
      </c>
    </row>
    <row r="40">
      <c r="B40" s="9" t="n"/>
      <c r="C40" s="7" t="n">
        <v>80</v>
      </c>
      <c r="D40" s="7" t="inlineStr">
        <is>
          <t>3.5300</t>
        </is>
      </c>
      <c r="E40" s="7" t="inlineStr">
        <is>
          <t>24.5600</t>
        </is>
      </c>
      <c r="F40" s="7" t="n"/>
      <c r="L40" s="7">
        <f>SUM(D40:J40)</f>
        <v/>
      </c>
    </row>
    <row r="41">
      <c r="B41" s="9" t="n"/>
      <c r="C41" s="7" t="n">
        <v>90</v>
      </c>
      <c r="D41" s="7" t="inlineStr">
        <is>
          <t>3.5350</t>
        </is>
      </c>
      <c r="E41" s="7" t="inlineStr">
        <is>
          <t>24.5800</t>
        </is>
      </c>
      <c r="F41" s="7" t="n"/>
      <c r="L41" s="7">
        <f>SUM(D41:J41)</f>
        <v/>
      </c>
    </row>
    <row r="42">
      <c r="B42" s="10" t="n"/>
      <c r="C42" s="7" t="n">
        <v>94</v>
      </c>
      <c r="D42" s="7" t="inlineStr">
        <is>
          <t>3.5400</t>
        </is>
      </c>
      <c r="E42" s="7" t="inlineStr">
        <is>
          <t>24.6000</t>
        </is>
      </c>
      <c r="F42" s="7" t="n"/>
      <c r="L42" s="7">
        <f>SUM(D42:J42)</f>
        <v/>
      </c>
    </row>
    <row r="43">
      <c r="B43" s="11" t="inlineStr">
        <is>
          <t>Max-Min</t>
        </is>
      </c>
      <c r="C43" s="12" t="n"/>
      <c r="D43" s="11">
        <f>MAX(D31:D42)-MIN(D31:D42)</f>
        <v/>
      </c>
      <c r="E43" s="11">
        <f>MAX(E31:E42)-MIN(E31:E42)</f>
        <v/>
      </c>
      <c r="F43" s="11">
        <f>MAX(F31:F42)-MIN(F31:F42)</f>
        <v/>
      </c>
      <c r="G43" s="11">
        <f>MAX(G31:G42)-MIN(G31:G42)</f>
        <v/>
      </c>
      <c r="H43" s="11">
        <f>MAX(H31:H42)-MIN(H31:H42)</f>
        <v/>
      </c>
      <c r="I43" s="11">
        <f>MAX(I31:I42)-MIN(I31:I42)</f>
        <v/>
      </c>
      <c r="J43" s="11">
        <f>MAX(J31:J42)-MIN(J31:J42)</f>
        <v/>
      </c>
      <c r="K43" s="11">
        <f>MAX(K31:K42)-MIN(K31:K42)</f>
        <v/>
      </c>
      <c r="L43" s="11">
        <f>MAX(L31:L42)-MIN(L31:L42)</f>
        <v/>
      </c>
    </row>
    <row r="44">
      <c r="B44" s="7" t="inlineStr">
        <is>
          <t>Wafer 4</t>
        </is>
      </c>
      <c r="C44" s="7" t="n">
        <v>0</v>
      </c>
      <c r="D44" s="7" t="inlineStr">
        <is>
          <t>3.5180</t>
        </is>
      </c>
      <c r="E44" s="7" t="inlineStr">
        <is>
          <t>24.5100</t>
        </is>
      </c>
      <c r="F44" s="7" t="n"/>
      <c r="L44" s="7">
        <f>SUM(D44:J44)</f>
        <v/>
      </c>
    </row>
    <row r="45">
      <c r="B45" s="9" t="n"/>
      <c r="C45" s="7" t="n">
        <v>0</v>
      </c>
      <c r="D45" s="7" t="inlineStr">
        <is>
          <t>3.5230</t>
        </is>
      </c>
      <c r="E45" s="7" t="inlineStr">
        <is>
          <t>24.5300</t>
        </is>
      </c>
      <c r="F45" s="7" t="n"/>
      <c r="L45" s="7">
        <f>SUM(D45:J45)</f>
        <v/>
      </c>
    </row>
    <row r="46">
      <c r="B46" s="9" t="n"/>
      <c r="C46" s="7" t="n">
        <v>10</v>
      </c>
      <c r="D46" s="7" t="inlineStr">
        <is>
          <t>3.5280</t>
        </is>
      </c>
      <c r="E46" s="7" t="inlineStr">
        <is>
          <t>24.5500</t>
        </is>
      </c>
      <c r="F46" s="7" t="n"/>
      <c r="L46" s="7">
        <f>SUM(D46:J46)</f>
        <v/>
      </c>
    </row>
    <row r="47">
      <c r="B47" s="9" t="n"/>
      <c r="C47" s="7" t="n">
        <v>20</v>
      </c>
      <c r="D47" s="7" t="inlineStr">
        <is>
          <t>3.5330</t>
        </is>
      </c>
      <c r="E47" s="7" t="inlineStr">
        <is>
          <t>24.5700</t>
        </is>
      </c>
      <c r="F47" s="7" t="n"/>
      <c r="L47" s="7">
        <f>SUM(D47:J47)</f>
        <v/>
      </c>
    </row>
    <row r="48">
      <c r="B48" s="9" t="n"/>
      <c r="C48" s="7" t="n">
        <v>30</v>
      </c>
      <c r="D48" s="7" t="inlineStr">
        <is>
          <t>3.5380</t>
        </is>
      </c>
      <c r="E48" s="7" t="inlineStr">
        <is>
          <t>24.5900</t>
        </is>
      </c>
      <c r="F48" s="7" t="n"/>
      <c r="L48" s="7">
        <f>SUM(D48:J48)</f>
        <v/>
      </c>
    </row>
    <row r="49">
      <c r="B49" s="9" t="n"/>
      <c r="C49" s="7" t="n">
        <v>40</v>
      </c>
      <c r="D49" s="7" t="inlineStr">
        <is>
          <t>3.5430</t>
        </is>
      </c>
      <c r="E49" s="7" t="inlineStr">
        <is>
          <t>24.6100</t>
        </is>
      </c>
      <c r="F49" s="7" t="n"/>
      <c r="L49" s="7">
        <f>SUM(D49:J49)</f>
        <v/>
      </c>
    </row>
    <row r="50">
      <c r="B50" s="9" t="n"/>
      <c r="C50" s="7" t="n">
        <v>50</v>
      </c>
      <c r="D50" s="7" t="inlineStr">
        <is>
          <t>3.5210</t>
        </is>
      </c>
      <c r="E50" s="7" t="inlineStr">
        <is>
          <t>24.5200</t>
        </is>
      </c>
      <c r="F50" s="7" t="n"/>
      <c r="L50" s="7">
        <f>SUM(D50:J50)</f>
        <v/>
      </c>
    </row>
    <row r="51">
      <c r="B51" s="9" t="n"/>
      <c r="C51" s="7" t="n">
        <v>60</v>
      </c>
      <c r="D51" s="7" t="inlineStr">
        <is>
          <t>3.5260</t>
        </is>
      </c>
      <c r="E51" s="7" t="inlineStr">
        <is>
          <t>24.5400</t>
        </is>
      </c>
      <c r="F51" s="7" t="n"/>
      <c r="L51" s="7">
        <f>SUM(D51:J51)</f>
        <v/>
      </c>
    </row>
    <row r="52">
      <c r="B52" s="9" t="n"/>
      <c r="C52" s="7" t="n">
        <v>70</v>
      </c>
      <c r="D52" s="7" t="inlineStr">
        <is>
          <t>3.5310</t>
        </is>
      </c>
      <c r="E52" s="7" t="inlineStr">
        <is>
          <t>24.5600</t>
        </is>
      </c>
      <c r="F52" s="7" t="n"/>
      <c r="L52" s="7">
        <f>SUM(D52:J52)</f>
        <v/>
      </c>
    </row>
    <row r="53">
      <c r="B53" s="9" t="n"/>
      <c r="C53" s="7" t="n">
        <v>80</v>
      </c>
      <c r="D53" s="7" t="inlineStr">
        <is>
          <t>3.5360</t>
        </is>
      </c>
      <c r="E53" s="7" t="inlineStr">
        <is>
          <t>24.5800</t>
        </is>
      </c>
      <c r="F53" s="7" t="n"/>
      <c r="L53" s="7">
        <f>SUM(D53:J53)</f>
        <v/>
      </c>
    </row>
    <row r="54">
      <c r="B54" s="9" t="n"/>
      <c r="C54" s="7" t="n">
        <v>90</v>
      </c>
      <c r="D54" s="7" t="inlineStr">
        <is>
          <t>3.5410</t>
        </is>
      </c>
      <c r="E54" s="7" t="inlineStr">
        <is>
          <t>24.6000</t>
        </is>
      </c>
      <c r="F54" s="7" t="n"/>
      <c r="L54" s="7">
        <f>SUM(D54:J54)</f>
        <v/>
      </c>
    </row>
    <row r="55">
      <c r="B55" s="10" t="n"/>
      <c r="C55" s="7" t="n">
        <v>94</v>
      </c>
      <c r="D55" s="7" t="inlineStr">
        <is>
          <t>3.5460</t>
        </is>
      </c>
      <c r="E55" s="7" t="inlineStr">
        <is>
          <t>24.6200</t>
        </is>
      </c>
      <c r="F55" s="7" t="n"/>
      <c r="L55" s="7">
        <f>SUM(D55:J55)</f>
        <v/>
      </c>
    </row>
    <row r="56">
      <c r="B56" s="11" t="inlineStr">
        <is>
          <t>Max-Min</t>
        </is>
      </c>
      <c r="C56" s="12" t="n"/>
      <c r="D56" s="11">
        <f>MAX(D44:D55)-MIN(D44:D55)</f>
        <v/>
      </c>
      <c r="E56" s="11">
        <f>MAX(E44:E55)-MIN(E44:E55)</f>
        <v/>
      </c>
      <c r="F56" s="11">
        <f>MAX(F44:F55)-MIN(F44:F55)</f>
        <v/>
      </c>
      <c r="G56" s="11">
        <f>MAX(G44:G55)-MIN(G44:G55)</f>
        <v/>
      </c>
      <c r="H56" s="11">
        <f>MAX(H44:H55)-MIN(H44:H55)</f>
        <v/>
      </c>
      <c r="I56" s="11">
        <f>MAX(I44:I55)-MIN(I44:I55)</f>
        <v/>
      </c>
      <c r="J56" s="11">
        <f>MAX(J44:J55)-MIN(J44:J55)</f>
        <v/>
      </c>
      <c r="K56" s="11">
        <f>MAX(K44:K55)-MIN(K44:K55)</f>
        <v/>
      </c>
      <c r="L56" s="11">
        <f>MAX(L44:L55)-MIN(L44:L55)</f>
        <v/>
      </c>
    </row>
    <row r="57">
      <c r="B57" s="7" t="inlineStr">
        <is>
          <t>Wafer 5</t>
        </is>
      </c>
      <c r="C57" s="7" t="n">
        <v>0</v>
      </c>
      <c r="D57" s="7" t="inlineStr">
        <is>
          <t>3.5240</t>
        </is>
      </c>
      <c r="E57" s="7" t="inlineStr">
        <is>
          <t>24.5300</t>
        </is>
      </c>
      <c r="F57" s="7" t="n"/>
      <c r="L57" s="7">
        <f>SUM(D57:J57)</f>
        <v/>
      </c>
    </row>
    <row r="58">
      <c r="B58" s="9" t="n"/>
      <c r="C58" s="7" t="n">
        <v>0</v>
      </c>
      <c r="D58" s="7" t="inlineStr">
        <is>
          <t>3.5290</t>
        </is>
      </c>
      <c r="E58" s="7" t="inlineStr">
        <is>
          <t>24.5500</t>
        </is>
      </c>
      <c r="F58" s="7" t="n"/>
      <c r="L58" s="7">
        <f>SUM(D58:J58)</f>
        <v/>
      </c>
    </row>
    <row r="59">
      <c r="B59" s="9" t="n"/>
      <c r="C59" s="7" t="n">
        <v>10</v>
      </c>
      <c r="D59" s="7" t="inlineStr">
        <is>
          <t>3.5340</t>
        </is>
      </c>
      <c r="E59" s="7" t="inlineStr">
        <is>
          <t>24.5700</t>
        </is>
      </c>
      <c r="F59" s="7" t="n"/>
      <c r="L59" s="7">
        <f>SUM(D59:J59)</f>
        <v/>
      </c>
    </row>
    <row r="60">
      <c r="B60" s="9" t="n"/>
      <c r="C60" s="7" t="n">
        <v>20</v>
      </c>
      <c r="D60" s="7" t="inlineStr">
        <is>
          <t>3.5390</t>
        </is>
      </c>
      <c r="E60" s="7" t="inlineStr">
        <is>
          <t>24.5900</t>
        </is>
      </c>
      <c r="F60" s="7" t="n"/>
      <c r="L60" s="7">
        <f>SUM(D60:J60)</f>
        <v/>
      </c>
    </row>
    <row r="61">
      <c r="B61" s="9" t="n"/>
      <c r="C61" s="7" t="n">
        <v>30</v>
      </c>
      <c r="D61" s="7" t="inlineStr">
        <is>
          <t>3.5440</t>
        </is>
      </c>
      <c r="E61" s="7" t="inlineStr">
        <is>
          <t>24.6100</t>
        </is>
      </c>
      <c r="F61" s="7" t="n"/>
      <c r="L61" s="7">
        <f>SUM(D61:J61)</f>
        <v/>
      </c>
    </row>
    <row r="62">
      <c r="B62" s="9" t="n"/>
      <c r="C62" s="7" t="n">
        <v>40</v>
      </c>
      <c r="D62" s="7" t="inlineStr">
        <is>
          <t>3.5490</t>
        </is>
      </c>
      <c r="E62" s="7" t="inlineStr">
        <is>
          <t>24.6300</t>
        </is>
      </c>
      <c r="F62" s="7" t="n"/>
      <c r="L62" s="7">
        <f>SUM(D62:J62)</f>
        <v/>
      </c>
    </row>
    <row r="63">
      <c r="B63" s="9" t="n"/>
      <c r="C63" s="7" t="n">
        <v>50</v>
      </c>
      <c r="D63" s="7" t="inlineStr">
        <is>
          <t>3.5270</t>
        </is>
      </c>
      <c r="E63" s="7" t="inlineStr">
        <is>
          <t>24.5400</t>
        </is>
      </c>
      <c r="F63" s="7" t="n"/>
      <c r="L63" s="7">
        <f>SUM(D63:J63)</f>
        <v/>
      </c>
    </row>
    <row r="64">
      <c r="B64" s="9" t="n"/>
      <c r="C64" s="7" t="n">
        <v>60</v>
      </c>
      <c r="D64" s="7" t="inlineStr">
        <is>
          <t>3.5320</t>
        </is>
      </c>
      <c r="E64" s="7" t="inlineStr">
        <is>
          <t>24.5600</t>
        </is>
      </c>
      <c r="F64" s="7" t="n"/>
      <c r="L64" s="7">
        <f>SUM(D64:J64)</f>
        <v/>
      </c>
    </row>
    <row r="65">
      <c r="B65" s="9" t="n"/>
      <c r="C65" s="7" t="n">
        <v>70</v>
      </c>
      <c r="D65" s="7" t="inlineStr">
        <is>
          <t>3.5370</t>
        </is>
      </c>
      <c r="E65" s="7" t="inlineStr">
        <is>
          <t>24.5800</t>
        </is>
      </c>
      <c r="F65" s="7" t="n"/>
      <c r="L65" s="7">
        <f>SUM(D65:J65)</f>
        <v/>
      </c>
    </row>
    <row r="66">
      <c r="B66" s="9" t="n"/>
      <c r="C66" s="7" t="n">
        <v>80</v>
      </c>
      <c r="D66" s="7" t="inlineStr">
        <is>
          <t>3.5420</t>
        </is>
      </c>
      <c r="E66" s="7" t="inlineStr">
        <is>
          <t>24.6000</t>
        </is>
      </c>
      <c r="F66" s="7" t="n"/>
      <c r="L66" s="7">
        <f>SUM(D66:J66)</f>
        <v/>
      </c>
    </row>
    <row r="67">
      <c r="B67" s="9" t="n"/>
      <c r="C67" s="7" t="n">
        <v>90</v>
      </c>
      <c r="D67" s="7" t="inlineStr">
        <is>
          <t>3.5470</t>
        </is>
      </c>
      <c r="E67" s="7" t="inlineStr">
        <is>
          <t>24.6200</t>
        </is>
      </c>
      <c r="F67" s="7" t="n"/>
      <c r="L67" s="7">
        <f>SUM(D67:J67)</f>
        <v/>
      </c>
    </row>
    <row r="68">
      <c r="B68" s="10" t="n"/>
      <c r="C68" s="7" t="n">
        <v>94</v>
      </c>
      <c r="D68" s="7" t="inlineStr">
        <is>
          <t>3.5520</t>
        </is>
      </c>
      <c r="E68" s="7" t="inlineStr">
        <is>
          <t>24.6400</t>
        </is>
      </c>
      <c r="F68" s="7" t="n"/>
      <c r="L68" s="7">
        <f>SUM(D68:J68)</f>
        <v/>
      </c>
    </row>
    <row r="69">
      <c r="B69" s="11" t="inlineStr">
        <is>
          <t>Max-Min</t>
        </is>
      </c>
      <c r="C69" s="12" t="n"/>
      <c r="D69" s="11">
        <f>MAX(D57:D68)-MIN(D57:D68)</f>
        <v/>
      </c>
      <c r="E69" s="11">
        <f>MAX(E57:E68)-MIN(E57:E68)</f>
        <v/>
      </c>
      <c r="F69" s="11">
        <f>MAX(F57:F68)-MIN(F57:F68)</f>
        <v/>
      </c>
      <c r="G69" s="11">
        <f>MAX(G57:G68)-MIN(G57:G68)</f>
        <v/>
      </c>
      <c r="H69" s="11">
        <f>MAX(H57:H68)-MIN(H57:H68)</f>
        <v/>
      </c>
      <c r="I69" s="11">
        <f>MAX(I57:I68)-MIN(I57:I68)</f>
        <v/>
      </c>
      <c r="J69" s="11">
        <f>MAX(J57:J68)-MIN(J57:J68)</f>
        <v/>
      </c>
      <c r="K69" s="11">
        <f>MAX(K57:K68)-MIN(K57:K68)</f>
        <v/>
      </c>
      <c r="L69" s="11">
        <f>MAX(L57:L68)-MIN(L57:L68)</f>
        <v/>
      </c>
    </row>
    <row r="70">
      <c r="B70" s="8" t="inlineStr">
        <is>
          <t>AVG Thickness</t>
        </is>
      </c>
      <c r="C70" s="8" t="n"/>
      <c r="D70" s="8">
        <f>AVERAGE(D5:D16,D18:D29,D31:D42,D44:D55,D57:D68)</f>
        <v/>
      </c>
      <c r="E70" s="8">
        <f>AVERAGE(E5:E16,E18:E29,E31:E42,E44:E55,E57:E68)</f>
        <v/>
      </c>
      <c r="F70" s="8">
        <f>AVERAGE(F5:F16,F18:F29,F31:F42,F44:F55,F57:F68)</f>
        <v/>
      </c>
      <c r="G70" s="8">
        <f>AVERAGE(G5:G16,G18:G29,G31:G42,G44:G55,G57:G68)</f>
        <v/>
      </c>
      <c r="H70" s="8">
        <f>AVERAGE(H5:H16,H18:H29,H31:H42,H44:H55,H57:H68)</f>
        <v/>
      </c>
      <c r="I70" s="8">
        <f>AVERAGE(I5:I16,I18:I29,I31:I42,I44:I55,I57:I68)</f>
        <v/>
      </c>
      <c r="J70" s="8" t="n"/>
      <c r="K70" s="8" t="n"/>
      <c r="L70" s="8" t="n"/>
    </row>
    <row r="71">
      <c r="B71" s="8" t="inlineStr">
        <is>
          <t>AVG Max-Min</t>
        </is>
      </c>
      <c r="C71" s="8" t="n"/>
      <c r="D71" s="8">
        <f>AVERAGE(D17,D30,D43,D56,D69)</f>
        <v/>
      </c>
      <c r="E71" s="8">
        <f>AVERAGE(E17,E30,E43,E56,E69)</f>
        <v/>
      </c>
      <c r="F71" s="8">
        <f>AVERAGE(F17,F30,F43,F56,F69)</f>
        <v/>
      </c>
      <c r="G71" s="8">
        <f>AVERAGE(G17,G30,G43,G56,G69)</f>
        <v/>
      </c>
      <c r="H71" s="8">
        <f>AVERAGE(H17,H30,H43,H56,H69)</f>
        <v/>
      </c>
      <c r="I71" s="8">
        <f>AVERAGE(I17,I30,I43,I56,I69)</f>
        <v/>
      </c>
      <c r="J71" s="8" t="n"/>
      <c r="K71" s="8" t="n"/>
      <c r="L71" s="8" t="n"/>
    </row>
  </sheetData>
  <mergeCells count="19">
    <mergeCell ref="B5:B16"/>
    <mergeCell ref="B30"/>
    <mergeCell ref="B3:L3"/>
    <mergeCell ref="N19:P19"/>
    <mergeCell ref="N10:P10"/>
    <mergeCell ref="N13:P13"/>
    <mergeCell ref="N23:O23"/>
    <mergeCell ref="B31:B42"/>
    <mergeCell ref="B43"/>
    <mergeCell ref="B56"/>
    <mergeCell ref="N4:P4"/>
    <mergeCell ref="B18:B29"/>
    <mergeCell ref="B57:B68"/>
    <mergeCell ref="N7:P7"/>
    <mergeCell ref="B17"/>
    <mergeCell ref="N16:P16"/>
    <mergeCell ref="B44:B55"/>
    <mergeCell ref="B69"/>
    <mergeCell ref="N3:P3"/>
  </mergeCells>
  <conditionalFormatting sqref="D70">
    <cfRule type="cellIs" priority="1" operator="between" dxfId="0" stopIfTrue="1">
      <formula>180</formula>
      <formula>190</formula>
    </cfRule>
    <cfRule type="cellIs" priority="2" operator="notBetween" dxfId="1" stopIfTrue="1">
      <formula>180</formula>
      <formula>190</formula>
    </cfRule>
  </conditionalFormatting>
  <conditionalFormatting sqref="E70">
    <cfRule type="cellIs" priority="3" operator="between" dxfId="0" stopIfTrue="1">
      <formula>105</formula>
      <formula>115</formula>
    </cfRule>
    <cfRule type="cellIs" priority="4" operator="notBetween" dxfId="1" stopIfTrue="1">
      <formula>105</formula>
      <formula>115</formula>
    </cfRule>
  </conditionalFormatting>
  <conditionalFormatting sqref="F70">
    <cfRule type="cellIs" priority="5" operator="between" dxfId="0" stopIfTrue="1">
      <formula>1950</formula>
      <formula>2050</formula>
    </cfRule>
    <cfRule type="cellIs" priority="6" operator="notBetween" dxfId="1" stopIfTrue="1">
      <formula>1950</formula>
      <formula>2050</formula>
    </cfRule>
  </conditionalFormatting>
  <conditionalFormatting sqref="G70">
    <cfRule type="cellIs" priority="7" operator="between" dxfId="0" stopIfTrue="1">
      <formula>1090</formula>
      <formula>1110</formula>
    </cfRule>
    <cfRule type="cellIs" priority="8" operator="notBetween" dxfId="1" stopIfTrue="1">
      <formula>1090</formula>
      <formula>1110</formula>
    </cfRule>
  </conditionalFormatting>
  <conditionalFormatting sqref="H70">
    <cfRule type="cellIs" priority="9" operator="between" dxfId="0" stopIfTrue="1">
      <formula>240</formula>
      <formula>280</formula>
    </cfRule>
    <cfRule type="cellIs" priority="10" operator="notBetween" dxfId="1" stopIfTrue="1">
      <formula>240</formula>
      <formula>280</formula>
    </cfRule>
  </conditionalFormatting>
  <conditionalFormatting sqref="I70">
    <cfRule type="cellIs" priority="11" operator="between" dxfId="0" stopIfTrue="1">
      <formula>160</formula>
      <formula>180</formula>
    </cfRule>
    <cfRule type="cellIs" priority="12" operator="notBetween" dxfId="1" stopIfTrue="1">
      <formula>160</formula>
      <formula>180</formula>
    </cfRule>
  </conditionalFormatting>
  <conditionalFormatting sqref="D71">
    <cfRule type="cellIs" priority="13" operator="lessThan" dxfId="0" stopIfTrue="1">
      <formula>5.0</formula>
    </cfRule>
    <cfRule type="cellIs" priority="14" operator="greaterThanOrEqual" dxfId="1" stopIfTrue="1">
      <formula>5.0</formula>
    </cfRule>
  </conditionalFormatting>
  <conditionalFormatting sqref="E71">
    <cfRule type="cellIs" priority="15" operator="lessThan" dxfId="0" stopIfTrue="1">
      <formula>5.0</formula>
    </cfRule>
    <cfRule type="cellIs" priority="16" operator="greaterThanOrEqual" dxfId="1" stopIfTrue="1">
      <formula>5.0</formula>
    </cfRule>
  </conditionalFormatting>
  <conditionalFormatting sqref="F71">
    <cfRule type="cellIs" priority="17" operator="lessThan" dxfId="0" stopIfTrue="1">
      <formula>30.0</formula>
    </cfRule>
    <cfRule type="cellIs" priority="18" operator="greaterThanOrEqual" dxfId="1" stopIfTrue="1">
      <formula>30.0</formula>
    </cfRule>
  </conditionalFormatting>
  <conditionalFormatting sqref="G71">
    <cfRule type="cellIs" priority="19" operator="lessThan" dxfId="0" stopIfTrue="1">
      <formula>10.0</formula>
    </cfRule>
    <cfRule type="cellIs" priority="20" operator="greaterThanOrEqual" dxfId="1" stopIfTrue="1">
      <formula>10.0</formula>
    </cfRule>
  </conditionalFormatting>
  <conditionalFormatting sqref="H71">
    <cfRule type="cellIs" priority="21" operator="lessThan" dxfId="0" stopIfTrue="1">
      <formula>10.0</formula>
    </cfRule>
    <cfRule type="cellIs" priority="22" operator="greaterThanOrEqual" dxfId="1" stopIfTrue="1">
      <formula>10.0</formula>
    </cfRule>
  </conditionalFormatting>
  <conditionalFormatting sqref="I71">
    <cfRule type="cellIs" priority="23" operator="lessThan" dxfId="0" stopIfTrue="1">
      <formula>15.0</formula>
    </cfRule>
    <cfRule type="cellIs" priority="24" operator="greaterThanOrEqual" dxfId="1" stopIfTrue="1">
      <formula>15.0</formula>
    </cfRule>
  </conditionalFormatting>
  <conditionalFormatting sqref="D5:D71">
    <cfRule type="expression" priority="25" dxfId="0" stopIfTrue="1">
      <formula>=AND($B5&lt;&gt;"Max-Min",ISNUMBER(D5),D5&gt;=180,D5&lt;=190)</formula>
    </cfRule>
    <cfRule type="expression" priority="26" dxfId="1" stopIfTrue="1">
      <formula>=AND($B5&lt;&gt;"Max-Min",ISNUMBER(D5),OR(D5&lt;180,D5&gt;190))</formula>
    </cfRule>
  </conditionalFormatting>
  <conditionalFormatting sqref="E5:E71">
    <cfRule type="expression" priority="27" dxfId="0" stopIfTrue="1">
      <formula>=AND($B5&lt;&gt;"Max-Min",ISNUMBER(E5),E5&gt;=105,E5&lt;=115)</formula>
    </cfRule>
    <cfRule type="expression" priority="28" dxfId="1" stopIfTrue="1">
      <formula>=AND($B5&lt;&gt;"Max-Min",ISNUMBER(E5),OR(E5&lt;105,E5&gt;115))</formula>
    </cfRule>
  </conditionalFormatting>
  <conditionalFormatting sqref="F5:F71">
    <cfRule type="expression" priority="29" dxfId="0" stopIfTrue="1">
      <formula>=AND($B5&lt;&gt;"Max-Min",ISNUMBER(F5),F5&gt;=1950,F5&lt;=2050)</formula>
    </cfRule>
    <cfRule type="expression" priority="30" dxfId="1" stopIfTrue="1">
      <formula>=AND($B5&lt;&gt;"Max-Min",ISNUMBER(F5),OR(F5&lt;1950,F5&gt;2050))</formula>
    </cfRule>
  </conditionalFormatting>
  <conditionalFormatting sqref="G5:G71">
    <cfRule type="expression" priority="31" dxfId="0" stopIfTrue="1">
      <formula>=AND($B5&lt;&gt;"Max-Min",ISNUMBER(G5),G5&gt;=1090,G5&lt;=1110)</formula>
    </cfRule>
    <cfRule type="expression" priority="32" dxfId="1" stopIfTrue="1">
      <formula>=AND($B5&lt;&gt;"Max-Min",ISNUMBER(G5),OR(G5&lt;1090,G5&gt;1110))</formula>
    </cfRule>
  </conditionalFormatting>
  <conditionalFormatting sqref="H5:H71">
    <cfRule type="expression" priority="33" dxfId="0" stopIfTrue="1">
      <formula>=AND($B5&lt;&gt;"Max-Min",ISNUMBER(H5),H5&gt;=240,H5&lt;=280)</formula>
    </cfRule>
    <cfRule type="expression" priority="34" dxfId="1" stopIfTrue="1">
      <formula>=AND($B5&lt;&gt;"Max-Min",ISNUMBER(H5),OR(H5&lt;240,H5&gt;280))</formula>
    </cfRule>
  </conditionalFormatting>
  <conditionalFormatting sqref="I5:I71">
    <cfRule type="expression" priority="35" dxfId="0" stopIfTrue="1">
      <formula>=AND($B5&lt;&gt;"Max-Min",ISNUMBER(I5),I5&gt;=160,I5&lt;=180)</formula>
    </cfRule>
    <cfRule type="expression" priority="36" dxfId="1" stopIfTrue="1">
      <formula>=AND($B5&lt;&gt;"Max-Min",ISNUMBER(I5),OR(I5&lt;160,I5&gt;180))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0" customWidth="1" min="10" max="10"/>
    <col width="10" customWidth="1" min="11" max="11"/>
    <col width="10" customWidth="1" min="12" max="12"/>
  </cols>
  <sheetData>
    <row r="1">
      <c r="AA1" s="1" t="n">
        <v>0</v>
      </c>
      <c r="AB1" s="1" t="n">
        <v>42.1</v>
      </c>
      <c r="AC1" s="1" t="n">
        <v>48.3</v>
      </c>
      <c r="AD1" s="1" t="n">
        <v>45.2</v>
      </c>
    </row>
    <row r="2">
      <c r="AA2" s="1" t="n">
        <v>16</v>
      </c>
      <c r="AB2" s="1" t="n">
        <v>42.1</v>
      </c>
      <c r="AC2" s="1" t="n">
        <v>48.3</v>
      </c>
      <c r="AD2" s="1" t="n">
        <v>45.2</v>
      </c>
    </row>
    <row r="3">
      <c r="B3" s="2" t="inlineStr">
        <is>
          <t>V3102</t>
        </is>
      </c>
      <c r="C3" s="13" t="n"/>
      <c r="D3" s="13" t="n"/>
      <c r="E3" s="13" t="n"/>
      <c r="F3" s="13" t="n"/>
      <c r="G3" s="13" t="n"/>
      <c r="H3" s="13" t="n"/>
      <c r="J3" s="2" t="inlineStr">
        <is>
          <t>SPEC (um)</t>
        </is>
      </c>
      <c r="K3" s="4" t="n"/>
      <c r="L3" s="5" t="n"/>
    </row>
    <row r="4">
      <c r="B4" s="6" t="inlineStr">
        <is>
          <t>Slot No.</t>
        </is>
      </c>
      <c r="C4" s="6" t="inlineStr">
        <is>
          <t>Wafer ID</t>
        </is>
      </c>
      <c r="D4" s="6" t="inlineStr">
        <is>
          <t>Bowing X</t>
        </is>
      </c>
      <c r="E4" s="6" t="inlineStr">
        <is>
          <t>Bowing Y</t>
        </is>
      </c>
      <c r="F4" s="6" t="inlineStr">
        <is>
          <t>Center Bowing</t>
        </is>
      </c>
      <c r="G4" s="6" t="inlineStr">
        <is>
          <t>SORI</t>
        </is>
      </c>
      <c r="H4" s="6" t="inlineStr">
        <is>
          <t>AVG Center Bowing</t>
        </is>
      </c>
      <c r="J4" s="6" t="inlineStr">
        <is>
          <t>Min</t>
        </is>
      </c>
      <c r="K4" s="6" t="inlineStr">
        <is>
          <t>Target</t>
        </is>
      </c>
      <c r="L4" s="6" t="inlineStr">
        <is>
          <t>Max</t>
        </is>
      </c>
    </row>
    <row r="5">
      <c r="B5" s="7" t="n">
        <v>1</v>
      </c>
      <c r="C5" s="7" t="inlineStr">
        <is>
          <t>W01</t>
        </is>
      </c>
      <c r="D5" s="7" t="n">
        <v>-2.159</v>
      </c>
      <c r="E5" s="7" t="n">
        <v>2.54</v>
      </c>
      <c r="F5" s="7" t="n">
        <v>-0.673</v>
      </c>
      <c r="G5" s="7" t="n">
        <v>3.4</v>
      </c>
      <c r="H5" s="7" t="n">
        <v>-0.2494</v>
      </c>
      <c r="J5" s="7" t="n">
        <v>42.1</v>
      </c>
      <c r="K5" s="7" t="n">
        <v>45.2</v>
      </c>
      <c r="L5" s="7" t="n">
        <v>48.3</v>
      </c>
    </row>
    <row r="6">
      <c r="B6" s="7" t="n">
        <v>2</v>
      </c>
      <c r="C6" s="7" t="inlineStr">
        <is>
          <t>W02</t>
        </is>
      </c>
      <c r="D6" s="7" t="n">
        <v>-2.091</v>
      </c>
      <c r="E6" s="7" t="n">
        <v>1.584</v>
      </c>
      <c r="F6" s="7" t="n">
        <v>-0.382</v>
      </c>
      <c r="G6" s="7" t="n">
        <v>3.4</v>
      </c>
      <c r="H6" s="7" t="n">
        <v/>
      </c>
    </row>
    <row r="7">
      <c r="B7" s="7" t="n">
        <v>3</v>
      </c>
      <c r="C7" s="7" t="inlineStr">
        <is>
          <t>W03</t>
        </is>
      </c>
      <c r="D7" s="7" t="n">
        <v>-2.859</v>
      </c>
      <c r="E7" s="7" t="n">
        <v>1.01</v>
      </c>
      <c r="F7" s="7" t="n">
        <v>-0.159</v>
      </c>
      <c r="G7" s="7" t="n">
        <v>3.4</v>
      </c>
      <c r="H7" s="7" t="n">
        <v/>
      </c>
    </row>
    <row r="8">
      <c r="B8" s="7" t="n">
        <v>4</v>
      </c>
      <c r="C8" s="7" t="inlineStr">
        <is>
          <t>W04</t>
        </is>
      </c>
      <c r="D8" s="7" t="n">
        <v>-3.757</v>
      </c>
      <c r="E8" s="7" t="n">
        <v>1.346</v>
      </c>
      <c r="F8" s="7" t="n">
        <v>-0.028</v>
      </c>
      <c r="G8" s="7" t="n">
        <v>3.4</v>
      </c>
      <c r="H8" s="7" t="n">
        <v/>
      </c>
    </row>
    <row r="9">
      <c r="B9" s="7" t="n">
        <v>5</v>
      </c>
      <c r="C9" s="7" t="inlineStr">
        <is>
          <t>W05</t>
        </is>
      </c>
      <c r="D9" s="7" t="n">
        <v>-3.959</v>
      </c>
      <c r="E9" s="7" t="n">
        <v>2.284</v>
      </c>
      <c r="F9" s="7" t="n">
        <v>-0.005</v>
      </c>
      <c r="G9" s="7" t="n">
        <v>3.4</v>
      </c>
      <c r="H9" s="7" t="n">
        <v/>
      </c>
    </row>
    <row r="10"/>
    <row r="11">
      <c r="B11" s="2" t="inlineStr">
        <is>
          <t>V3103</t>
        </is>
      </c>
      <c r="C11" s="13" t="n"/>
      <c r="D11" s="13" t="n"/>
      <c r="E11" s="13" t="n"/>
      <c r="F11" s="13" t="n"/>
      <c r="G11" s="13" t="n"/>
      <c r="H11" s="13" t="n"/>
    </row>
    <row r="12">
      <c r="B12" s="6" t="inlineStr">
        <is>
          <t>Slot No.</t>
        </is>
      </c>
      <c r="C12" s="6" t="inlineStr">
        <is>
          <t>Wafer ID</t>
        </is>
      </c>
      <c r="D12" s="6" t="inlineStr">
        <is>
          <t>Bowing X</t>
        </is>
      </c>
      <c r="E12" s="6" t="inlineStr">
        <is>
          <t>Bowing Y</t>
        </is>
      </c>
      <c r="F12" s="6" t="inlineStr">
        <is>
          <t>Center Bowing</t>
        </is>
      </c>
      <c r="G12" s="6" t="inlineStr">
        <is>
          <t>SORI</t>
        </is>
      </c>
      <c r="H12" s="6" t="inlineStr">
        <is>
          <t>AVG Center Bowing</t>
        </is>
      </c>
    </row>
    <row r="13">
      <c r="B13" s="7" t="n">
        <v>6</v>
      </c>
      <c r="C13" s="7" t="inlineStr">
        <is>
          <t>W06</t>
        </is>
      </c>
      <c r="D13" s="7" t="n">
        <v>-3.279</v>
      </c>
      <c r="E13" s="7" t="n">
        <v>2.96</v>
      </c>
      <c r="F13" s="7" t="n">
        <v>-0.091</v>
      </c>
      <c r="G13" s="7" t="n">
        <v>3.4</v>
      </c>
      <c r="H13" s="7" t="n">
        <v>-0.5922000000000001</v>
      </c>
    </row>
    <row r="14">
      <c r="B14" s="7" t="n">
        <v>7</v>
      </c>
      <c r="C14" s="7" t="inlineStr">
        <is>
          <t>W07</t>
        </is>
      </c>
      <c r="D14" s="7" t="n">
        <v>-2.343</v>
      </c>
      <c r="E14" s="7" t="n">
        <v>2.754</v>
      </c>
      <c r="F14" s="7" t="n">
        <v>-0.277</v>
      </c>
      <c r="G14" s="7" t="n">
        <v>3.4</v>
      </c>
      <c r="H14" s="7" t="n">
        <v/>
      </c>
    </row>
    <row r="15">
      <c r="B15" s="7" t="n">
        <v>8</v>
      </c>
      <c r="C15" s="7" t="inlineStr">
        <is>
          <t>W08</t>
        </is>
      </c>
      <c r="D15" s="7" t="n">
        <v>-2.011</v>
      </c>
      <c r="E15" s="7" t="n">
        <v>1.854</v>
      </c>
      <c r="F15" s="7" t="n">
        <v>-0.543</v>
      </c>
      <c r="G15" s="7" t="n">
        <v>3.4</v>
      </c>
      <c r="H15" s="7" t="n">
        <v/>
      </c>
    </row>
    <row r="16">
      <c r="B16" s="7" t="n">
        <v>9</v>
      </c>
      <c r="C16" s="7" t="inlineStr">
        <is>
          <t>W09</t>
        </is>
      </c>
      <c r="D16" s="7" t="n">
        <v>-2.588</v>
      </c>
      <c r="E16" s="7" t="n">
        <v>1.089</v>
      </c>
      <c r="F16" s="7" t="n">
        <v>-0.859</v>
      </c>
      <c r="G16" s="7" t="n">
        <v>3.4</v>
      </c>
      <c r="H16" s="7" t="n">
        <v/>
      </c>
    </row>
    <row r="17">
      <c r="B17" s="7" t="n">
        <v>10</v>
      </c>
      <c r="C17" s="7" t="inlineStr">
        <is>
          <t>W10</t>
        </is>
      </c>
      <c r="D17" s="7" t="n">
        <v>-3.544</v>
      </c>
      <c r="E17" s="7" t="n">
        <v>1.161</v>
      </c>
      <c r="F17" s="7" t="n">
        <v>-1.191</v>
      </c>
      <c r="G17" s="7" t="n">
        <v>3.4</v>
      </c>
      <c r="H17" s="7" t="n">
        <v/>
      </c>
    </row>
    <row r="18"/>
    <row r="19">
      <c r="B19" s="2" t="inlineStr">
        <is>
          <t>Group 3</t>
        </is>
      </c>
      <c r="C19" s="13" t="n"/>
      <c r="D19" s="13" t="n"/>
      <c r="E19" s="13" t="n"/>
      <c r="F19" s="13" t="n"/>
      <c r="G19" s="13" t="n"/>
      <c r="H19" s="13" t="n"/>
    </row>
    <row r="20">
      <c r="B20" s="6" t="inlineStr">
        <is>
          <t>Slot No.</t>
        </is>
      </c>
      <c r="C20" s="6" t="inlineStr">
        <is>
          <t>Wafer ID</t>
        </is>
      </c>
      <c r="D20" s="6" t="inlineStr">
        <is>
          <t>Bowing X</t>
        </is>
      </c>
      <c r="E20" s="6" t="inlineStr">
        <is>
          <t>Bowing Y</t>
        </is>
      </c>
      <c r="F20" s="6" t="inlineStr">
        <is>
          <t>Center Bowing</t>
        </is>
      </c>
      <c r="G20" s="6" t="inlineStr">
        <is>
          <t>SORI</t>
        </is>
      </c>
      <c r="H20" s="6" t="inlineStr">
        <is>
          <t>AVG Center Bowing</t>
        </is>
      </c>
    </row>
    <row r="21">
      <c r="B21" s="7" t="n">
        <v>11</v>
      </c>
      <c r="C21" s="7" t="inlineStr">
        <is>
          <t>W11</t>
        </is>
      </c>
      <c r="D21" s="7" t="n">
        <v>-4</v>
      </c>
      <c r="E21" s="7" t="n">
        <v>2.004</v>
      </c>
      <c r="F21" s="7" t="n">
        <v>-1.501</v>
      </c>
      <c r="G21" s="7" t="n">
        <v>3.4</v>
      </c>
      <c r="H21" s="7" t="n">
        <v>-1.829</v>
      </c>
    </row>
    <row r="22">
      <c r="B22" s="7" t="n">
        <v>12</v>
      </c>
      <c r="C22" s="7" t="inlineStr">
        <is>
          <t>W12</t>
        </is>
      </c>
      <c r="D22" s="7" t="n">
        <v>-3.537</v>
      </c>
      <c r="E22" s="7" t="n">
        <v>2.844</v>
      </c>
      <c r="F22" s="7" t="n">
        <v>-1.757</v>
      </c>
      <c r="G22" s="7" t="n">
        <v>3.4</v>
      </c>
      <c r="H22" s="7" t="n">
        <v/>
      </c>
    </row>
    <row r="23">
      <c r="B23" s="7" t="n">
        <v>13</v>
      </c>
      <c r="C23" s="7" t="inlineStr">
        <is>
          <t>W13</t>
        </is>
      </c>
      <c r="D23" s="7" t="n">
        <v>-2.58</v>
      </c>
      <c r="E23" s="7" t="n">
        <v>2.907</v>
      </c>
      <c r="F23" s="7" t="n">
        <v>-1.929</v>
      </c>
      <c r="G23" s="7" t="n">
        <v>3.4</v>
      </c>
      <c r="H23" s="7" t="n">
        <v/>
      </c>
    </row>
    <row r="24">
      <c r="B24" s="7" t="n">
        <v>14</v>
      </c>
      <c r="C24" s="7" t="inlineStr">
        <is>
          <t>W14</t>
        </is>
      </c>
      <c r="D24" s="7" t="n">
        <v>-2.009</v>
      </c>
      <c r="E24" s="7" t="n">
        <v>2.137</v>
      </c>
      <c r="F24" s="7" t="n">
        <v>-1.999</v>
      </c>
      <c r="G24" s="7" t="n">
        <v>3.4</v>
      </c>
      <c r="H24" s="7" t="n">
        <v/>
      </c>
    </row>
    <row r="25">
      <c r="B25" s="7" t="n">
        <v>15</v>
      </c>
      <c r="C25" s="7" t="inlineStr">
        <is>
          <t>W15</t>
        </is>
      </c>
      <c r="D25" s="7" t="n">
        <v>-2.35</v>
      </c>
      <c r="E25" s="7" t="n">
        <v>1.24</v>
      </c>
      <c r="F25" s="7" t="n">
        <v>-1.959</v>
      </c>
      <c r="G25" s="7" t="n">
        <v>3.4</v>
      </c>
      <c r="H25" s="7" t="n">
        <v/>
      </c>
    </row>
  </sheetData>
  <mergeCells count="4">
    <mergeCell ref="B3:H3"/>
    <mergeCell ref="B19:H19"/>
    <mergeCell ref="J3:L3"/>
    <mergeCell ref="B11:H11"/>
  </mergeCells>
  <conditionalFormatting sqref="F5:F9">
    <cfRule type="cellIs" priority="1" operator="between" dxfId="0" stopIfTrue="1">
      <formula>42.1</formula>
      <formula>48.3</formula>
    </cfRule>
    <cfRule type="cellIs" priority="2" operator="notBetween" dxfId="1" stopIfTrue="1">
      <formula>42.1</formula>
      <formula>48.3</formula>
    </cfRule>
  </conditionalFormatting>
  <conditionalFormatting sqref="H5">
    <cfRule type="cellIs" priority="3" operator="between" dxfId="0" stopIfTrue="1">
      <formula>42.1</formula>
      <formula>48.3</formula>
    </cfRule>
    <cfRule type="cellIs" priority="4" operator="notBetween" dxfId="1" stopIfTrue="1">
      <formula>42.1</formula>
      <formula>48.3</formula>
    </cfRule>
  </conditionalFormatting>
  <conditionalFormatting sqref="F13:F17">
    <cfRule type="cellIs" priority="5" operator="between" dxfId="0" stopIfTrue="1">
      <formula>42.1</formula>
      <formula>48.3</formula>
    </cfRule>
    <cfRule type="cellIs" priority="6" operator="notBetween" dxfId="1" stopIfTrue="1">
      <formula>42.1</formula>
      <formula>48.3</formula>
    </cfRule>
  </conditionalFormatting>
  <conditionalFormatting sqref="H13">
    <cfRule type="cellIs" priority="7" operator="between" dxfId="0" stopIfTrue="1">
      <formula>42.1</formula>
      <formula>48.3</formula>
    </cfRule>
    <cfRule type="cellIs" priority="8" operator="notBetween" dxfId="1" stopIfTrue="1">
      <formula>42.1</formula>
      <formula>48.3</formula>
    </cfRule>
  </conditionalFormatting>
  <conditionalFormatting sqref="F21:F25">
    <cfRule type="cellIs" priority="9" operator="between" dxfId="0" stopIfTrue="1">
      <formula>42.1</formula>
      <formula>48.3</formula>
    </cfRule>
    <cfRule type="cellIs" priority="10" operator="notBetween" dxfId="1" stopIfTrue="1">
      <formula>42.1</formula>
      <formula>48.3</formula>
    </cfRule>
  </conditionalFormatting>
  <conditionalFormatting sqref="H21">
    <cfRule type="cellIs" priority="11" operator="between" dxfId="0" stopIfTrue="1">
      <formula>42.1</formula>
      <formula>48.3</formula>
    </cfRule>
    <cfRule type="cellIs" priority="12" operator="notBetween" dxfId="1" stopIfTrue="1">
      <formula>42.1</formula>
      <formula>48.3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34"/>
  <sheetViews>
    <sheetView workbookViewId="0">
      <selection activeCell="A1" sqref="A1"/>
    </sheetView>
  </sheetViews>
  <sheetFormatPr baseColWidth="8" defaultRowHeight="15"/>
  <cols>
    <col width="2" customWidth="1" min="1" max="1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0" customWidth="1" min="58" max="58"/>
    <col width="10" customWidth="1" min="59" max="59"/>
    <col width="10" customWidth="1" min="60" max="60"/>
  </cols>
  <sheetData>
    <row r="1">
      <c r="BE1" s="14" t="n"/>
    </row>
    <row r="2">
      <c r="BE2" s="14" t="n"/>
    </row>
    <row r="3">
      <c r="B3" s="15" t="inlineStr">
        <is>
          <t>V3102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4" t="n"/>
      <c r="BF3" s="2" t="inlineStr">
        <is>
          <t>SPEC (um)</t>
        </is>
      </c>
      <c r="BG3" s="4" t="n"/>
      <c r="BH3" s="5" t="n"/>
    </row>
    <row r="4">
      <c r="B4" s="6" t="inlineStr">
        <is>
          <t>Measurement</t>
        </is>
      </c>
      <c r="C4" s="6" t="inlineStr">
        <is>
          <t>Measurement</t>
        </is>
      </c>
      <c r="D4" s="6" t="inlineStr">
        <is>
          <t>Measurement</t>
        </is>
      </c>
      <c r="E4" s="6" t="inlineStr">
        <is>
          <t>Measurement</t>
        </is>
      </c>
      <c r="F4" s="6" t="inlineStr">
        <is>
          <t>Measurement</t>
        </is>
      </c>
      <c r="G4" s="6" t="inlineStr">
        <is>
          <t>Measurement</t>
        </is>
      </c>
      <c r="H4" s="6" t="inlineStr">
        <is>
          <t>Measurement</t>
        </is>
      </c>
      <c r="I4" s="6" t="inlineStr">
        <is>
          <t>Measurement</t>
        </is>
      </c>
      <c r="J4" s="6" t="inlineStr">
        <is>
          <t>Measurement</t>
        </is>
      </c>
      <c r="K4" s="6" t="inlineStr">
        <is>
          <t>Measurement</t>
        </is>
      </c>
      <c r="L4" s="6" t="inlineStr">
        <is>
          <t>Measurement</t>
        </is>
      </c>
      <c r="M4" s="6" t="inlineStr">
        <is>
          <t>Measurement</t>
        </is>
      </c>
      <c r="N4" s="6" t="inlineStr">
        <is>
          <t>Measurement</t>
        </is>
      </c>
      <c r="O4" s="6" t="inlineStr">
        <is>
          <t>Measurement</t>
        </is>
      </c>
      <c r="P4" s="6" t="inlineStr">
        <is>
          <t>Measurement</t>
        </is>
      </c>
      <c r="Q4" s="6" t="inlineStr">
        <is>
          <t>Measurement</t>
        </is>
      </c>
      <c r="R4" s="6" t="inlineStr">
        <is>
          <t>Measurement</t>
        </is>
      </c>
      <c r="S4" s="6" t="inlineStr">
        <is>
          <t>Measurement</t>
        </is>
      </c>
      <c r="T4" s="6" t="inlineStr">
        <is>
          <t>Measurement</t>
        </is>
      </c>
      <c r="U4" s="6" t="inlineStr">
        <is>
          <t>Measurement</t>
        </is>
      </c>
      <c r="V4" s="6" t="inlineStr">
        <is>
          <t>Measurement</t>
        </is>
      </c>
      <c r="W4" s="6" t="inlineStr">
        <is>
          <t>Measurement</t>
        </is>
      </c>
      <c r="X4" s="6" t="inlineStr">
        <is>
          <t>Measurement</t>
        </is>
      </c>
      <c r="Y4" s="6" t="inlineStr">
        <is>
          <t>Measurement</t>
        </is>
      </c>
      <c r="Z4" s="6" t="inlineStr">
        <is>
          <t>Measurement</t>
        </is>
      </c>
      <c r="AA4" s="6" t="inlineStr">
        <is>
          <t>Measurement</t>
        </is>
      </c>
      <c r="AB4" s="6" t="inlineStr">
        <is>
          <t>Measurement</t>
        </is>
      </c>
      <c r="AC4" s="6" t="inlineStr">
        <is>
          <t>Measurement</t>
        </is>
      </c>
      <c r="AD4" s="6" t="inlineStr">
        <is>
          <t>Measurement</t>
        </is>
      </c>
      <c r="AE4" s="6" t="inlineStr">
        <is>
          <t>Measurement</t>
        </is>
      </c>
      <c r="AF4" s="6" t="inlineStr">
        <is>
          <t>Measurement</t>
        </is>
      </c>
      <c r="AG4" s="6" t="inlineStr">
        <is>
          <t>Measurement</t>
        </is>
      </c>
      <c r="AH4" s="6" t="inlineStr">
        <is>
          <t>Measurement</t>
        </is>
      </c>
      <c r="AI4" s="6" t="inlineStr">
        <is>
          <t>Measurement</t>
        </is>
      </c>
      <c r="AJ4" s="6" t="inlineStr">
        <is>
          <t>Measurement</t>
        </is>
      </c>
      <c r="AK4" s="6" t="inlineStr">
        <is>
          <t>Measurement</t>
        </is>
      </c>
      <c r="AL4" s="6" t="inlineStr">
        <is>
          <t>Measurement</t>
        </is>
      </c>
      <c r="AM4" s="6" t="inlineStr">
        <is>
          <t>Measurement</t>
        </is>
      </c>
      <c r="AN4" s="6" t="inlineStr">
        <is>
          <t>Measurement</t>
        </is>
      </c>
      <c r="AO4" s="6" t="inlineStr">
        <is>
          <t>Measurement</t>
        </is>
      </c>
      <c r="AP4" s="6" t="inlineStr">
        <is>
          <t>Measurement</t>
        </is>
      </c>
      <c r="AQ4" s="6" t="inlineStr">
        <is>
          <t>Measurement</t>
        </is>
      </c>
      <c r="AR4" s="6" t="inlineStr">
        <is>
          <t>Measurement</t>
        </is>
      </c>
      <c r="AS4" s="6" t="inlineStr">
        <is>
          <t>Measurement</t>
        </is>
      </c>
      <c r="AT4" s="6" t="inlineStr">
        <is>
          <t>Measurement</t>
        </is>
      </c>
      <c r="AU4" s="6" t="inlineStr">
        <is>
          <t>Measurement</t>
        </is>
      </c>
      <c r="AV4" s="6" t="inlineStr">
        <is>
          <t>Measurement</t>
        </is>
      </c>
      <c r="AW4" s="6" t="inlineStr">
        <is>
          <t>Measurement</t>
        </is>
      </c>
      <c r="AX4" s="6" t="inlineStr">
        <is>
          <t>Measurement</t>
        </is>
      </c>
      <c r="AY4" s="6" t="inlineStr">
        <is>
          <t>Measurement</t>
        </is>
      </c>
      <c r="AZ4" s="6" t="inlineStr">
        <is>
          <t>Measurement</t>
        </is>
      </c>
      <c r="BA4" s="6" t="inlineStr">
        <is>
          <t>Measurement</t>
        </is>
      </c>
      <c r="BB4" s="6" t="inlineStr">
        <is>
          <t>Measurement</t>
        </is>
      </c>
      <c r="BC4" s="6" t="inlineStr"/>
      <c r="BD4" s="6" t="inlineStr"/>
      <c r="BE4" s="14" t="n"/>
      <c r="BF4" s="6" t="inlineStr">
        <is>
          <t>Min</t>
        </is>
      </c>
      <c r="BG4" s="6" t="inlineStr">
        <is>
          <t>Target</t>
        </is>
      </c>
      <c r="BH4" s="6" t="inlineStr">
        <is>
          <t>Max</t>
        </is>
      </c>
    </row>
    <row r="5">
      <c r="B5" s="9" t="n"/>
      <c r="C5" s="9" t="n"/>
      <c r="D5" s="6" t="inlineStr">
        <is>
          <t>Site 3</t>
        </is>
      </c>
      <c r="E5" s="6" t="inlineStr">
        <is>
          <t>Site 4</t>
        </is>
      </c>
      <c r="F5" s="6" t="inlineStr">
        <is>
          <t>Site 5</t>
        </is>
      </c>
      <c r="G5" s="6" t="inlineStr">
        <is>
          <t>Site 6</t>
        </is>
      </c>
      <c r="H5" s="6" t="inlineStr">
        <is>
          <t>Site 7</t>
        </is>
      </c>
      <c r="I5" s="6" t="inlineStr">
        <is>
          <t>Site 8</t>
        </is>
      </c>
      <c r="J5" s="6" t="inlineStr">
        <is>
          <t>Site 9</t>
        </is>
      </c>
      <c r="K5" s="6" t="inlineStr">
        <is>
          <t>Site 10</t>
        </is>
      </c>
      <c r="L5" s="6" t="inlineStr">
        <is>
          <t>Site 11</t>
        </is>
      </c>
      <c r="M5" s="6" t="inlineStr">
        <is>
          <t>Site 12</t>
        </is>
      </c>
      <c r="N5" s="6" t="inlineStr">
        <is>
          <t>Site 13</t>
        </is>
      </c>
      <c r="O5" s="6" t="inlineStr">
        <is>
          <t>Site 14</t>
        </is>
      </c>
      <c r="P5" s="6" t="inlineStr">
        <is>
          <t>Site 15</t>
        </is>
      </c>
      <c r="Q5" s="6" t="inlineStr">
        <is>
          <t>Site 16</t>
        </is>
      </c>
      <c r="R5" s="6" t="inlineStr">
        <is>
          <t>Site 17</t>
        </is>
      </c>
      <c r="S5" s="6" t="inlineStr">
        <is>
          <t>Site 18</t>
        </is>
      </c>
      <c r="T5" s="6" t="inlineStr">
        <is>
          <t>Site 19</t>
        </is>
      </c>
      <c r="U5" s="6" t="inlineStr">
        <is>
          <t>Site 20</t>
        </is>
      </c>
      <c r="V5" s="6" t="inlineStr">
        <is>
          <t>Site 21</t>
        </is>
      </c>
      <c r="W5" s="6" t="inlineStr">
        <is>
          <t>Site 22</t>
        </is>
      </c>
      <c r="X5" s="6" t="inlineStr">
        <is>
          <t>Site 23</t>
        </is>
      </c>
      <c r="Y5" s="6" t="inlineStr">
        <is>
          <t>Site 24</t>
        </is>
      </c>
      <c r="Z5" s="6" t="inlineStr">
        <is>
          <t>Site 25</t>
        </is>
      </c>
      <c r="AA5" s="6" t="inlineStr">
        <is>
          <t>Site 26</t>
        </is>
      </c>
      <c r="AB5" s="6" t="inlineStr">
        <is>
          <t>Site 27</t>
        </is>
      </c>
      <c r="AC5" s="6" t="inlineStr">
        <is>
          <t>Site 28</t>
        </is>
      </c>
      <c r="AD5" s="6" t="inlineStr">
        <is>
          <t>Site 29</t>
        </is>
      </c>
      <c r="AE5" s="6" t="inlineStr">
        <is>
          <t>Site 30</t>
        </is>
      </c>
      <c r="AF5" s="6" t="inlineStr">
        <is>
          <t>Site 31</t>
        </is>
      </c>
      <c r="AG5" s="6" t="inlineStr">
        <is>
          <t>Site 32</t>
        </is>
      </c>
      <c r="AH5" s="6" t="inlineStr">
        <is>
          <t>Site 33</t>
        </is>
      </c>
      <c r="AI5" s="6" t="inlineStr">
        <is>
          <t>Site 34</t>
        </is>
      </c>
      <c r="AJ5" s="6" t="inlineStr">
        <is>
          <t>Site 35</t>
        </is>
      </c>
      <c r="AK5" s="6" t="inlineStr">
        <is>
          <t>Site 36</t>
        </is>
      </c>
      <c r="AL5" s="6" t="inlineStr">
        <is>
          <t>Site 37</t>
        </is>
      </c>
      <c r="AM5" s="6" t="inlineStr">
        <is>
          <t>Site 38</t>
        </is>
      </c>
      <c r="AN5" s="6" t="inlineStr">
        <is>
          <t>Site 39</t>
        </is>
      </c>
      <c r="AO5" s="6" t="inlineStr">
        <is>
          <t>Site 40</t>
        </is>
      </c>
      <c r="AP5" s="6" t="inlineStr">
        <is>
          <t>Site 41</t>
        </is>
      </c>
      <c r="AQ5" s="6" t="inlineStr">
        <is>
          <t>Site 42</t>
        </is>
      </c>
      <c r="AR5" s="6" t="inlineStr">
        <is>
          <t>Site 43</t>
        </is>
      </c>
      <c r="AS5" s="6" t="inlineStr">
        <is>
          <t>Site 44</t>
        </is>
      </c>
      <c r="AT5" s="6" t="inlineStr">
        <is>
          <t>Site 45</t>
        </is>
      </c>
      <c r="AU5" s="6" t="inlineStr">
        <is>
          <t>Site 46</t>
        </is>
      </c>
      <c r="AV5" s="6" t="inlineStr">
        <is>
          <t>Site 47</t>
        </is>
      </c>
      <c r="AW5" s="6" t="inlineStr">
        <is>
          <t>Site 48</t>
        </is>
      </c>
      <c r="AX5" s="6" t="inlineStr">
        <is>
          <t>Site 49</t>
        </is>
      </c>
      <c r="AY5" s="6" t="inlineStr">
        <is>
          <t>Site 50</t>
        </is>
      </c>
      <c r="AZ5" s="6" t="inlineStr">
        <is>
          <t>Site 51</t>
        </is>
      </c>
      <c r="BA5" s="6" t="inlineStr">
        <is>
          <t>Site 52</t>
        </is>
      </c>
      <c r="BB5" s="6" t="inlineStr">
        <is>
          <t>Site 53</t>
        </is>
      </c>
      <c r="BC5" s="6" t="inlineStr"/>
      <c r="BD5" s="6" t="inlineStr"/>
      <c r="BE5" s="14" t="n"/>
      <c r="BF5" s="7" t="n">
        <v>63.8</v>
      </c>
      <c r="BG5" s="7" t="n">
        <v>67.97</v>
      </c>
      <c r="BH5" s="7" t="n">
        <v>72.14</v>
      </c>
    </row>
    <row r="6">
      <c r="B6" s="10" t="n"/>
      <c r="C6" s="10" t="n"/>
      <c r="D6" s="6" t="inlineStr">
        <is>
          <t>um</t>
        </is>
      </c>
      <c r="E6" s="6" t="inlineStr">
        <is>
          <t>um</t>
        </is>
      </c>
      <c r="F6" s="6" t="inlineStr">
        <is>
          <t>um</t>
        </is>
      </c>
      <c r="G6" s="6" t="inlineStr">
        <is>
          <t>um</t>
        </is>
      </c>
      <c r="H6" s="6" t="inlineStr">
        <is>
          <t>um</t>
        </is>
      </c>
      <c r="I6" s="6" t="inlineStr">
        <is>
          <t>um</t>
        </is>
      </c>
      <c r="J6" s="6" t="inlineStr">
        <is>
          <t>um</t>
        </is>
      </c>
      <c r="K6" s="6" t="inlineStr">
        <is>
          <t>um</t>
        </is>
      </c>
      <c r="L6" s="6" t="inlineStr">
        <is>
          <t>um</t>
        </is>
      </c>
      <c r="M6" s="6" t="inlineStr">
        <is>
          <t>um</t>
        </is>
      </c>
      <c r="N6" s="6" t="inlineStr">
        <is>
          <t>um</t>
        </is>
      </c>
      <c r="O6" s="6" t="inlineStr">
        <is>
          <t>um</t>
        </is>
      </c>
      <c r="P6" s="6" t="inlineStr">
        <is>
          <t>um</t>
        </is>
      </c>
      <c r="Q6" s="6" t="inlineStr">
        <is>
          <t>um</t>
        </is>
      </c>
      <c r="R6" s="6" t="inlineStr">
        <is>
          <t>um</t>
        </is>
      </c>
      <c r="S6" s="6" t="inlineStr">
        <is>
          <t>um</t>
        </is>
      </c>
      <c r="T6" s="6" t="inlineStr">
        <is>
          <t>um</t>
        </is>
      </c>
      <c r="U6" s="6" t="inlineStr">
        <is>
          <t>um</t>
        </is>
      </c>
      <c r="V6" s="6" t="inlineStr">
        <is>
          <t>um</t>
        </is>
      </c>
      <c r="W6" s="6" t="inlineStr">
        <is>
          <t>um</t>
        </is>
      </c>
      <c r="X6" s="6" t="inlineStr">
        <is>
          <t>um</t>
        </is>
      </c>
      <c r="Y6" s="6" t="inlineStr">
        <is>
          <t>um</t>
        </is>
      </c>
      <c r="Z6" s="6" t="inlineStr">
        <is>
          <t>um</t>
        </is>
      </c>
      <c r="AA6" s="6" t="inlineStr">
        <is>
          <t>um</t>
        </is>
      </c>
      <c r="AB6" s="6" t="inlineStr">
        <is>
          <t>um</t>
        </is>
      </c>
      <c r="AC6" s="6" t="inlineStr">
        <is>
          <t>um</t>
        </is>
      </c>
      <c r="AD6" s="6" t="inlineStr">
        <is>
          <t>um</t>
        </is>
      </c>
      <c r="AE6" s="6" t="inlineStr">
        <is>
          <t>um</t>
        </is>
      </c>
      <c r="AF6" s="6" t="inlineStr">
        <is>
          <t>um</t>
        </is>
      </c>
      <c r="AG6" s="6" t="inlineStr">
        <is>
          <t>um</t>
        </is>
      </c>
      <c r="AH6" s="6" t="inlineStr">
        <is>
          <t>um</t>
        </is>
      </c>
      <c r="AI6" s="6" t="inlineStr">
        <is>
          <t>um</t>
        </is>
      </c>
      <c r="AJ6" s="6" t="inlineStr">
        <is>
          <t>um</t>
        </is>
      </c>
      <c r="AK6" s="6" t="inlineStr">
        <is>
          <t>um</t>
        </is>
      </c>
      <c r="AL6" s="6" t="inlineStr">
        <is>
          <t>um</t>
        </is>
      </c>
      <c r="AM6" s="6" t="inlineStr">
        <is>
          <t>um</t>
        </is>
      </c>
      <c r="AN6" s="6" t="inlineStr">
        <is>
          <t>um</t>
        </is>
      </c>
      <c r="AO6" s="6" t="inlineStr">
        <is>
          <t>um</t>
        </is>
      </c>
      <c r="AP6" s="6" t="inlineStr">
        <is>
          <t>um</t>
        </is>
      </c>
      <c r="AQ6" s="6" t="inlineStr">
        <is>
          <t>um</t>
        </is>
      </c>
      <c r="AR6" s="6" t="inlineStr">
        <is>
          <t>um</t>
        </is>
      </c>
      <c r="AS6" s="6" t="inlineStr">
        <is>
          <t>um</t>
        </is>
      </c>
      <c r="AT6" s="6" t="inlineStr">
        <is>
          <t>um</t>
        </is>
      </c>
      <c r="AU6" s="6" t="inlineStr">
        <is>
          <t>um</t>
        </is>
      </c>
      <c r="AV6" s="6" t="inlineStr">
        <is>
          <t>um</t>
        </is>
      </c>
      <c r="AW6" s="6" t="inlineStr">
        <is>
          <t>um</t>
        </is>
      </c>
      <c r="AX6" s="6" t="inlineStr">
        <is>
          <t>um</t>
        </is>
      </c>
      <c r="AY6" s="6" t="inlineStr">
        <is>
          <t>um</t>
        </is>
      </c>
      <c r="AZ6" s="6" t="inlineStr">
        <is>
          <t>um</t>
        </is>
      </c>
      <c r="BA6" s="6" t="inlineStr">
        <is>
          <t>um</t>
        </is>
      </c>
      <c r="BB6" s="6" t="inlineStr">
        <is>
          <t>um</t>
        </is>
      </c>
      <c r="BC6" s="6" t="inlineStr">
        <is>
          <t>Wafer Average</t>
        </is>
      </c>
      <c r="BD6" s="6" t="inlineStr">
        <is>
          <t>Wafer Uniformity</t>
        </is>
      </c>
      <c r="BE6" s="14" t="n"/>
    </row>
    <row r="7">
      <c r="B7" s="7" t="n">
        <v>1</v>
      </c>
      <c r="C7" s="7" t="n">
        <v/>
      </c>
      <c r="D7" s="7" t="n">
        <v>3.5585</v>
      </c>
      <c r="E7" s="7" t="n">
        <v>3.5713</v>
      </c>
      <c r="F7" s="7" t="n">
        <v>3.5799</v>
      </c>
      <c r="G7" s="7" t="n">
        <v>3.5838</v>
      </c>
      <c r="H7" s="7" t="n">
        <v>3.5827</v>
      </c>
      <c r="I7" s="7" t="n">
        <v>3.5767</v>
      </c>
      <c r="J7" s="7" t="n">
        <v>3.5662</v>
      </c>
      <c r="K7" s="7" t="n">
        <v>3.5519</v>
      </c>
      <c r="L7" s="7" t="n">
        <v>3.5345</v>
      </c>
      <c r="M7" s="7" t="n">
        <v>3.5153</v>
      </c>
      <c r="N7" s="7" t="n">
        <v>3.4953</v>
      </c>
      <c r="O7" s="7" t="n">
        <v>3.4759</v>
      </c>
      <c r="P7" s="7" t="n">
        <v>3.4583</v>
      </c>
      <c r="Q7" s="7" t="n">
        <v>3.4435</v>
      </c>
      <c r="R7" s="7" t="n">
        <v>3.4324</v>
      </c>
      <c r="S7" s="7" t="n">
        <v>3.4258</v>
      </c>
      <c r="T7" s="7" t="n">
        <v>3.4241</v>
      </c>
      <c r="U7" s="7" t="n">
        <v>3.4273</v>
      </c>
      <c r="V7" s="7" t="n">
        <v>3.4353</v>
      </c>
      <c r="W7" s="7" t="n">
        <v>3.4476</v>
      </c>
      <c r="X7" s="7" t="n">
        <v>3.4633</v>
      </c>
      <c r="Y7" s="7" t="n">
        <v>3.4816</v>
      </c>
      <c r="Z7" s="7" t="n">
        <v>3.5013</v>
      </c>
      <c r="AA7" s="7" t="n">
        <v>3.5212</v>
      </c>
      <c r="AB7" s="7" t="n">
        <v>3.54</v>
      </c>
      <c r="AC7" s="7" t="n">
        <v>3.5566</v>
      </c>
      <c r="AD7" s="7" t="n">
        <v>3.5698</v>
      </c>
      <c r="AE7" s="7" t="n">
        <v>3.579</v>
      </c>
      <c r="AF7" s="7" t="n">
        <v>3.5836</v>
      </c>
      <c r="AG7" s="7" t="n">
        <v>3.5831</v>
      </c>
      <c r="AH7" s="7" t="n">
        <v>3.5778</v>
      </c>
      <c r="AI7" s="7" t="n">
        <v>3.5679</v>
      </c>
      <c r="AJ7" s="7" t="n">
        <v>3.554</v>
      </c>
      <c r="AK7" s="7" t="n">
        <v>3.537</v>
      </c>
      <c r="AL7" s="7" t="n">
        <v>3.5179</v>
      </c>
      <c r="AM7" s="7" t="n">
        <v>3.498</v>
      </c>
      <c r="AN7" s="7" t="n">
        <v>3.4784</v>
      </c>
      <c r="AO7" s="7" t="n">
        <v>3.4605</v>
      </c>
      <c r="AP7" s="7" t="n">
        <v>3.4452</v>
      </c>
      <c r="AQ7" s="7" t="n">
        <v>3.4336</v>
      </c>
      <c r="AR7" s="7" t="n">
        <v>3.4264</v>
      </c>
      <c r="AS7" s="7" t="n">
        <v>3.424</v>
      </c>
      <c r="AT7" s="7" t="n">
        <v>3.4266</v>
      </c>
      <c r="AU7" s="7" t="n">
        <v>3.434</v>
      </c>
      <c r="AV7" s="7" t="n">
        <v>3.4457</v>
      </c>
      <c r="AW7" s="7" t="n">
        <v>3.4611</v>
      </c>
      <c r="AX7" s="7" t="n">
        <v>3.4791</v>
      </c>
      <c r="AY7" s="7" t="n">
        <v>3.4987</v>
      </c>
      <c r="AZ7" s="7" t="n">
        <v>3.5186</v>
      </c>
      <c r="BA7" s="7" t="n">
        <v>3.5376</v>
      </c>
      <c r="BB7" s="7" t="n">
        <v>3.5545</v>
      </c>
      <c r="BC7" s="7">
        <f>AVERAGE(R7:BB7)</f>
        <v/>
      </c>
      <c r="BD7" s="7">
        <f>MAX(R7:BB7)-MIN(R7:BB7)</f>
        <v/>
      </c>
      <c r="BE7" s="14" t="n"/>
      <c r="BF7" s="2" t="inlineStr">
        <is>
          <t>Uniformity SPEC</t>
        </is>
      </c>
      <c r="BG7" s="4" t="n"/>
      <c r="BH7" s="5" t="n"/>
    </row>
    <row r="8">
      <c r="B8" s="7" t="n">
        <v>2</v>
      </c>
      <c r="C8" s="7" t="n">
        <v/>
      </c>
      <c r="D8" s="7" t="n">
        <v>3.5625</v>
      </c>
      <c r="E8" s="7" t="n">
        <v>3.5753</v>
      </c>
      <c r="F8" s="7" t="n">
        <v>3.5839</v>
      </c>
      <c r="G8" s="7" t="n">
        <v>3.5878</v>
      </c>
      <c r="H8" s="7" t="n">
        <v>3.5867</v>
      </c>
      <c r="I8" s="7" t="n">
        <v>3.5807</v>
      </c>
      <c r="J8" s="7" t="n">
        <v>3.5702</v>
      </c>
      <c r="K8" s="7" t="n">
        <v>3.5559</v>
      </c>
      <c r="L8" s="7" t="n">
        <v>3.5385</v>
      </c>
      <c r="M8" s="7" t="n">
        <v>3.5193</v>
      </c>
      <c r="N8" s="7" t="n">
        <v>3.4993</v>
      </c>
      <c r="O8" s="7" t="n">
        <v>3.4799</v>
      </c>
      <c r="P8" s="7" t="n">
        <v>3.4623</v>
      </c>
      <c r="Q8" s="7" t="n">
        <v>3.4475</v>
      </c>
      <c r="R8" s="7" t="n">
        <v>3.4364</v>
      </c>
      <c r="S8" s="7" t="n">
        <v>3.4298</v>
      </c>
      <c r="T8" s="7" t="n">
        <v>3.4281</v>
      </c>
      <c r="U8" s="7" t="n">
        <v>3.4313</v>
      </c>
      <c r="V8" s="7" t="n">
        <v>3.4393</v>
      </c>
      <c r="W8" s="7" t="n">
        <v>3.4516</v>
      </c>
      <c r="X8" s="7" t="n">
        <v>3.4673</v>
      </c>
      <c r="Y8" s="7" t="n">
        <v>3.4856</v>
      </c>
      <c r="Z8" s="7" t="n">
        <v>3.5053</v>
      </c>
      <c r="AA8" s="7" t="n">
        <v>3.5252</v>
      </c>
      <c r="AB8" s="7" t="n">
        <v>3.544</v>
      </c>
      <c r="AC8" s="7" t="n">
        <v>3.5606</v>
      </c>
      <c r="AD8" s="7" t="n">
        <v>3.5738</v>
      </c>
      <c r="AE8" s="7" t="n">
        <v>3.583</v>
      </c>
      <c r="AF8" s="7" t="n">
        <v>3.5876</v>
      </c>
      <c r="AG8" s="7" t="n">
        <v>3.5871</v>
      </c>
      <c r="AH8" s="7" t="n">
        <v>3.5818</v>
      </c>
      <c r="AI8" s="7" t="n">
        <v>3.5719</v>
      </c>
      <c r="AJ8" s="7" t="n">
        <v>3.558</v>
      </c>
      <c r="AK8" s="7" t="n">
        <v>3.541</v>
      </c>
      <c r="AL8" s="7" t="n">
        <v>3.5219</v>
      </c>
      <c r="AM8" s="7" t="n">
        <v>3.502</v>
      </c>
      <c r="AN8" s="7" t="n">
        <v>3.4824</v>
      </c>
      <c r="AO8" s="7" t="n">
        <v>3.4645</v>
      </c>
      <c r="AP8" s="7" t="n">
        <v>3.4492</v>
      </c>
      <c r="AQ8" s="7" t="n">
        <v>3.4376</v>
      </c>
      <c r="AR8" s="7" t="n">
        <v>3.4304</v>
      </c>
      <c r="AS8" s="7" t="n">
        <v>3.428</v>
      </c>
      <c r="AT8" s="7" t="n">
        <v>3.4306</v>
      </c>
      <c r="AU8" s="7" t="n">
        <v>3.438</v>
      </c>
      <c r="AV8" s="7" t="n">
        <v>3.4497</v>
      </c>
      <c r="AW8" s="7" t="n">
        <v>3.4651</v>
      </c>
      <c r="AX8" s="7" t="n">
        <v>3.4831</v>
      </c>
      <c r="AY8" s="7" t="n">
        <v>3.5027</v>
      </c>
      <c r="AZ8" s="7" t="n">
        <v>3.5226</v>
      </c>
      <c r="BA8" s="7" t="n">
        <v>3.5416</v>
      </c>
      <c r="BB8" s="7" t="n">
        <v>3.5585</v>
      </c>
      <c r="BC8" s="7">
        <f>AVERAGE(R8:BB8)</f>
        <v/>
      </c>
      <c r="BD8" s="7">
        <f>MAX(R8:BB8)-MIN(R8:BB8)</f>
        <v/>
      </c>
      <c r="BE8" s="14" t="n"/>
      <c r="BF8" s="6" t="inlineStr">
        <is>
          <t>WW</t>
        </is>
      </c>
      <c r="BG8" s="6" t="inlineStr">
        <is>
          <t>W-2-W</t>
        </is>
      </c>
      <c r="BH8" s="6" t="inlineStr">
        <is>
          <t>R-2-R</t>
        </is>
      </c>
    </row>
    <row r="9">
      <c r="B9" s="7" t="n">
        <v>3</v>
      </c>
      <c r="C9" s="7" t="n">
        <v/>
      </c>
      <c r="D9" s="7" t="n">
        <v>3.5665</v>
      </c>
      <c r="E9" s="7" t="n">
        <v>3.5793</v>
      </c>
      <c r="F9" s="7" t="n">
        <v>3.5879</v>
      </c>
      <c r="G9" s="7" t="n">
        <v>3.5918</v>
      </c>
      <c r="H9" s="7" t="n">
        <v>3.5907</v>
      </c>
      <c r="I9" s="7" t="n">
        <v>3.5847</v>
      </c>
      <c r="J9" s="7" t="n">
        <v>3.5742</v>
      </c>
      <c r="K9" s="7" t="n">
        <v>3.5599</v>
      </c>
      <c r="L9" s="7" t="n">
        <v>3.5425</v>
      </c>
      <c r="M9" s="7" t="n">
        <v>3.5233</v>
      </c>
      <c r="N9" s="7" t="n">
        <v>3.5033</v>
      </c>
      <c r="O9" s="7" t="n">
        <v>3.4839</v>
      </c>
      <c r="P9" s="7" t="n">
        <v>3.4663</v>
      </c>
      <c r="Q9" s="7" t="n">
        <v>3.4515</v>
      </c>
      <c r="R9" s="7" t="n">
        <v>3.4404</v>
      </c>
      <c r="S9" s="7" t="n">
        <v>3.4338</v>
      </c>
      <c r="T9" s="7" t="n">
        <v>3.4321</v>
      </c>
      <c r="U9" s="7" t="n">
        <v>3.4353</v>
      </c>
      <c r="V9" s="7" t="n">
        <v>3.4433</v>
      </c>
      <c r="W9" s="7" t="n">
        <v>3.4556</v>
      </c>
      <c r="X9" s="7" t="n">
        <v>3.4713</v>
      </c>
      <c r="Y9" s="7" t="n">
        <v>3.4896</v>
      </c>
      <c r="Z9" s="7" t="n">
        <v>3.5093</v>
      </c>
      <c r="AA9" s="7" t="n">
        <v>3.5292</v>
      </c>
      <c r="AB9" s="7" t="n">
        <v>3.548</v>
      </c>
      <c r="AC9" s="7" t="n">
        <v>3.5646</v>
      </c>
      <c r="AD9" s="7" t="n">
        <v>3.5778</v>
      </c>
      <c r="AE9" s="7" t="n">
        <v>3.587</v>
      </c>
      <c r="AF9" s="7" t="n">
        <v>3.5916</v>
      </c>
      <c r="AG9" s="7" t="n">
        <v>3.5911</v>
      </c>
      <c r="AH9" s="7" t="n">
        <v>3.5858</v>
      </c>
      <c r="AI9" s="7" t="n">
        <v>3.5759</v>
      </c>
      <c r="AJ9" s="7" t="n">
        <v>3.562</v>
      </c>
      <c r="AK9" s="7" t="n">
        <v>3.545</v>
      </c>
      <c r="AL9" s="7" t="n">
        <v>3.5259</v>
      </c>
      <c r="AM9" s="7" t="n">
        <v>3.506</v>
      </c>
      <c r="AN9" s="7" t="n">
        <v>3.4864</v>
      </c>
      <c r="AO9" s="7" t="n">
        <v>3.4685</v>
      </c>
      <c r="AP9" s="7" t="n">
        <v>3.4532</v>
      </c>
      <c r="AQ9" s="7" t="n">
        <v>3.4416</v>
      </c>
      <c r="AR9" s="7" t="n">
        <v>3.4344</v>
      </c>
      <c r="AS9" s="7" t="n">
        <v>3.432</v>
      </c>
      <c r="AT9" s="7" t="n">
        <v>3.4346</v>
      </c>
      <c r="AU9" s="7" t="n">
        <v>3.442</v>
      </c>
      <c r="AV9" s="7" t="n">
        <v>3.4537</v>
      </c>
      <c r="AW9" s="7" t="n">
        <v>3.4691</v>
      </c>
      <c r="AX9" s="7" t="n">
        <v>3.4871</v>
      </c>
      <c r="AY9" s="7" t="n">
        <v>3.5067</v>
      </c>
      <c r="AZ9" s="7" t="n">
        <v>3.5266</v>
      </c>
      <c r="BA9" s="7" t="n">
        <v>3.5456</v>
      </c>
      <c r="BB9" s="7" t="n">
        <v>3.5625</v>
      </c>
      <c r="BC9" s="7">
        <f>AVERAGE(R9:BB9)</f>
        <v/>
      </c>
      <c r="BD9" s="7">
        <f>MAX(R9:BB9)-MIN(R9:BB9)</f>
        <v/>
      </c>
      <c r="BE9" s="14" t="n"/>
      <c r="BF9" s="7" t="n">
        <v>1.69</v>
      </c>
      <c r="BG9" s="7" t="inlineStr">
        <is>
          <t>-</t>
        </is>
      </c>
      <c r="BH9" s="7" t="inlineStr">
        <is>
          <t>-</t>
        </is>
      </c>
    </row>
    <row r="10">
      <c r="B10" s="7" t="n">
        <v>4</v>
      </c>
      <c r="C10" s="7" t="n">
        <v/>
      </c>
      <c r="D10" s="7" t="n">
        <v>3.5705</v>
      </c>
      <c r="E10" s="7" t="n">
        <v>3.5833</v>
      </c>
      <c r="F10" s="7" t="n">
        <v>3.5919</v>
      </c>
      <c r="G10" s="7" t="n">
        <v>3.5958</v>
      </c>
      <c r="H10" s="7" t="n">
        <v>3.5947</v>
      </c>
      <c r="I10" s="7" t="n">
        <v>3.5887</v>
      </c>
      <c r="J10" s="7" t="n">
        <v>3.5782</v>
      </c>
      <c r="K10" s="7" t="n">
        <v>3.5639</v>
      </c>
      <c r="L10" s="7" t="n">
        <v>3.5465</v>
      </c>
      <c r="M10" s="7" t="n">
        <v>3.5273</v>
      </c>
      <c r="N10" s="7" t="n">
        <v>3.5073</v>
      </c>
      <c r="O10" s="7" t="n">
        <v>3.4879</v>
      </c>
      <c r="P10" s="7" t="n">
        <v>3.4703</v>
      </c>
      <c r="Q10" s="7" t="n">
        <v>3.4555</v>
      </c>
      <c r="R10" s="7" t="n">
        <v>3.4444</v>
      </c>
      <c r="S10" s="7" t="n">
        <v>3.4378</v>
      </c>
      <c r="T10" s="7" t="n">
        <v>3.4361</v>
      </c>
      <c r="U10" s="7" t="n">
        <v>3.4393</v>
      </c>
      <c r="V10" s="7" t="n">
        <v>3.4473</v>
      </c>
      <c r="W10" s="7" t="n">
        <v>3.4596</v>
      </c>
      <c r="X10" s="7" t="n">
        <v>3.4753</v>
      </c>
      <c r="Y10" s="7" t="n">
        <v>3.4936</v>
      </c>
      <c r="Z10" s="7" t="n">
        <v>3.5133</v>
      </c>
      <c r="AA10" s="7" t="n">
        <v>3.5332</v>
      </c>
      <c r="AB10" s="7" t="n">
        <v>3.552</v>
      </c>
      <c r="AC10" s="7" t="n">
        <v>3.5686</v>
      </c>
      <c r="AD10" s="7" t="n">
        <v>3.5818</v>
      </c>
      <c r="AE10" s="7" t="n">
        <v>3.591</v>
      </c>
      <c r="AF10" s="7" t="n">
        <v>3.5956</v>
      </c>
      <c r="AG10" s="7" t="n">
        <v>3.5951</v>
      </c>
      <c r="AH10" s="7" t="n">
        <v>3.5898</v>
      </c>
      <c r="AI10" s="7" t="n">
        <v>3.5799</v>
      </c>
      <c r="AJ10" s="7" t="n">
        <v>3.566</v>
      </c>
      <c r="AK10" s="7" t="n">
        <v>3.549</v>
      </c>
      <c r="AL10" s="7" t="n">
        <v>3.5299</v>
      </c>
      <c r="AM10" s="7" t="n">
        <v>3.51</v>
      </c>
      <c r="AN10" s="7" t="n">
        <v>3.4904</v>
      </c>
      <c r="AO10" s="7" t="n">
        <v>3.4725</v>
      </c>
      <c r="AP10" s="7" t="n">
        <v>3.4572</v>
      </c>
      <c r="AQ10" s="7" t="n">
        <v>3.4456</v>
      </c>
      <c r="AR10" s="7" t="n">
        <v>3.4384</v>
      </c>
      <c r="AS10" s="7" t="n">
        <v>3.436</v>
      </c>
      <c r="AT10" s="7" t="n">
        <v>3.4386</v>
      </c>
      <c r="AU10" s="7" t="n">
        <v>3.446</v>
      </c>
      <c r="AV10" s="7" t="n">
        <v>3.4577</v>
      </c>
      <c r="AW10" s="7" t="n">
        <v>3.4731</v>
      </c>
      <c r="AX10" s="7" t="n">
        <v>3.4911</v>
      </c>
      <c r="AY10" s="7" t="n">
        <v>3.5107</v>
      </c>
      <c r="AZ10" s="7" t="n">
        <v>3.5306</v>
      </c>
      <c r="BA10" s="7" t="n">
        <v>3.5496</v>
      </c>
      <c r="BB10" s="7" t="n">
        <v>3.5665</v>
      </c>
      <c r="BC10" s="7">
        <f>AVERAGE(R10:BB10)</f>
        <v/>
      </c>
      <c r="BD10" s="7">
        <f>MAX(R10:BB10)-MIN(R10:BB10)</f>
        <v/>
      </c>
      <c r="BE10" s="14" t="n"/>
    </row>
    <row r="11">
      <c r="B11" s="7" t="n">
        <v>5</v>
      </c>
      <c r="C11" s="7" t="n">
        <v/>
      </c>
      <c r="D11" s="7" t="n">
        <v>3.5745</v>
      </c>
      <c r="E11" s="7" t="n">
        <v>3.5873</v>
      </c>
      <c r="F11" s="7" t="n">
        <v>3.5959</v>
      </c>
      <c r="G11" s="7" t="n">
        <v>3.5998</v>
      </c>
      <c r="H11" s="7" t="n">
        <v>3.5987</v>
      </c>
      <c r="I11" s="7" t="n">
        <v>3.5927</v>
      </c>
      <c r="J11" s="7" t="n">
        <v>3.5822</v>
      </c>
      <c r="K11" s="7" t="n">
        <v>3.5679</v>
      </c>
      <c r="L11" s="7" t="n">
        <v>3.5505</v>
      </c>
      <c r="M11" s="7" t="n">
        <v>3.5313</v>
      </c>
      <c r="N11" s="7" t="n">
        <v>3.5113</v>
      </c>
      <c r="O11" s="7" t="n">
        <v>3.4919</v>
      </c>
      <c r="P11" s="7" t="n">
        <v>3.4743</v>
      </c>
      <c r="Q11" s="7" t="n">
        <v>3.4595</v>
      </c>
      <c r="R11" s="7" t="n">
        <v>3.4484</v>
      </c>
      <c r="S11" s="7" t="n">
        <v>3.4418</v>
      </c>
      <c r="T11" s="7" t="n">
        <v>3.4401</v>
      </c>
      <c r="U11" s="7" t="n">
        <v>3.4433</v>
      </c>
      <c r="V11" s="7" t="n">
        <v>3.4513</v>
      </c>
      <c r="W11" s="7" t="n">
        <v>3.4636</v>
      </c>
      <c r="X11" s="7" t="n">
        <v>3.4793</v>
      </c>
      <c r="Y11" s="7" t="n">
        <v>3.4976</v>
      </c>
      <c r="Z11" s="7" t="n">
        <v>3.5173</v>
      </c>
      <c r="AA11" s="7" t="n">
        <v>3.5372</v>
      </c>
      <c r="AB11" s="7" t="n">
        <v>3.556</v>
      </c>
      <c r="AC11" s="7" t="n">
        <v>3.5726</v>
      </c>
      <c r="AD11" s="7" t="n">
        <v>3.5858</v>
      </c>
      <c r="AE11" s="7" t="n">
        <v>3.595</v>
      </c>
      <c r="AF11" s="7" t="n">
        <v>3.5996</v>
      </c>
      <c r="AG11" s="7" t="n">
        <v>3.5991</v>
      </c>
      <c r="AH11" s="7" t="n">
        <v>3.5938</v>
      </c>
      <c r="AI11" s="7" t="n">
        <v>3.5839</v>
      </c>
      <c r="AJ11" s="7" t="n">
        <v>3.57</v>
      </c>
      <c r="AK11" s="7" t="n">
        <v>3.553</v>
      </c>
      <c r="AL11" s="7" t="n">
        <v>3.5339</v>
      </c>
      <c r="AM11" s="7" t="n">
        <v>3.514</v>
      </c>
      <c r="AN11" s="7" t="n">
        <v>3.4944</v>
      </c>
      <c r="AO11" s="7" t="n">
        <v>3.4765</v>
      </c>
      <c r="AP11" s="7" t="n">
        <v>3.4612</v>
      </c>
      <c r="AQ11" s="7" t="n">
        <v>3.4496</v>
      </c>
      <c r="AR11" s="7" t="n">
        <v>3.4424</v>
      </c>
      <c r="AS11" s="7" t="n">
        <v>3.44</v>
      </c>
      <c r="AT11" s="7" t="n">
        <v>3.4426</v>
      </c>
      <c r="AU11" s="7" t="n">
        <v>3.45</v>
      </c>
      <c r="AV11" s="7" t="n">
        <v>3.4617</v>
      </c>
      <c r="AW11" s="7" t="n">
        <v>3.4771</v>
      </c>
      <c r="AX11" s="7" t="n">
        <v>3.4951</v>
      </c>
      <c r="AY11" s="7" t="n">
        <v>3.5147</v>
      </c>
      <c r="AZ11" s="7" t="n">
        <v>3.5346</v>
      </c>
      <c r="BA11" s="7" t="n">
        <v>3.5536</v>
      </c>
      <c r="BB11" s="7" t="n">
        <v>3.5705</v>
      </c>
      <c r="BC11" s="7">
        <f>AVERAGE(R11:BB11)</f>
        <v/>
      </c>
      <c r="BD11" s="7">
        <f>MAX(R11:BB11)-MIN(R11:BB11)</f>
        <v/>
      </c>
      <c r="BE11" s="14" t="n"/>
    </row>
    <row r="12">
      <c r="BB12" s="8" t="inlineStr">
        <is>
          <t>Run Average</t>
        </is>
      </c>
      <c r="BC12" s="7">
        <f>AVERAGE(BC7:BC11)</f>
        <v/>
      </c>
      <c r="BE12" s="14" t="n"/>
      <c r="BF12" s="14" t="n"/>
      <c r="BG12" s="14" t="n"/>
      <c r="BH12" s="14" t="n"/>
    </row>
    <row r="13">
      <c r="BE13" s="14" t="n"/>
      <c r="BF13" s="14" t="n"/>
      <c r="BG13" s="14" t="n"/>
      <c r="BH13" s="14" t="n"/>
    </row>
    <row r="14">
      <c r="B14" s="15" t="inlineStr">
        <is>
          <t>V3103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  <c r="BA14" s="16" t="n"/>
      <c r="BB14" s="16" t="n"/>
      <c r="BC14" s="16" t="n"/>
      <c r="BD14" s="16" t="n"/>
      <c r="BE14" s="14" t="n"/>
      <c r="BF14" s="14" t="n"/>
      <c r="BG14" s="14" t="n"/>
      <c r="BH14" s="14" t="n"/>
    </row>
    <row r="15">
      <c r="B15" s="6" t="inlineStr">
        <is>
          <t>Measurement</t>
        </is>
      </c>
      <c r="C15" s="6" t="inlineStr">
        <is>
          <t>Measurement</t>
        </is>
      </c>
      <c r="D15" s="6" t="inlineStr">
        <is>
          <t>Measurement</t>
        </is>
      </c>
      <c r="E15" s="6" t="inlineStr">
        <is>
          <t>Measurement</t>
        </is>
      </c>
      <c r="F15" s="6" t="inlineStr">
        <is>
          <t>Measurement</t>
        </is>
      </c>
      <c r="G15" s="6" t="inlineStr">
        <is>
          <t>Measurement</t>
        </is>
      </c>
      <c r="H15" s="6" t="inlineStr">
        <is>
          <t>Measurement</t>
        </is>
      </c>
      <c r="I15" s="6" t="inlineStr">
        <is>
          <t>Measurement</t>
        </is>
      </c>
      <c r="J15" s="6" t="inlineStr">
        <is>
          <t>Measurement</t>
        </is>
      </c>
      <c r="K15" s="6" t="inlineStr">
        <is>
          <t>Measurement</t>
        </is>
      </c>
      <c r="L15" s="6" t="inlineStr">
        <is>
          <t>Measurement</t>
        </is>
      </c>
      <c r="M15" s="6" t="inlineStr">
        <is>
          <t>Measurement</t>
        </is>
      </c>
      <c r="N15" s="6" t="inlineStr">
        <is>
          <t>Measurement</t>
        </is>
      </c>
      <c r="O15" s="6" t="inlineStr">
        <is>
          <t>Measurement</t>
        </is>
      </c>
      <c r="P15" s="6" t="inlineStr">
        <is>
          <t>Measurement</t>
        </is>
      </c>
      <c r="Q15" s="6" t="inlineStr">
        <is>
          <t>Measurement</t>
        </is>
      </c>
      <c r="R15" s="6" t="inlineStr">
        <is>
          <t>Measurement</t>
        </is>
      </c>
      <c r="S15" s="6" t="inlineStr">
        <is>
          <t>Measurement</t>
        </is>
      </c>
      <c r="T15" s="6" t="inlineStr">
        <is>
          <t>Measurement</t>
        </is>
      </c>
      <c r="U15" s="6" t="inlineStr">
        <is>
          <t>Measurement</t>
        </is>
      </c>
      <c r="V15" s="6" t="inlineStr">
        <is>
          <t>Measurement</t>
        </is>
      </c>
      <c r="W15" s="6" t="inlineStr">
        <is>
          <t>Measurement</t>
        </is>
      </c>
      <c r="X15" s="6" t="inlineStr">
        <is>
          <t>Measurement</t>
        </is>
      </c>
      <c r="Y15" s="6" t="inlineStr">
        <is>
          <t>Measurement</t>
        </is>
      </c>
      <c r="Z15" s="6" t="inlineStr">
        <is>
          <t>Measurement</t>
        </is>
      </c>
      <c r="AA15" s="6" t="inlineStr">
        <is>
          <t>Measurement</t>
        </is>
      </c>
      <c r="AB15" s="6" t="inlineStr">
        <is>
          <t>Measurement</t>
        </is>
      </c>
      <c r="AC15" s="6" t="inlineStr">
        <is>
          <t>Measurement</t>
        </is>
      </c>
      <c r="AD15" s="6" t="inlineStr">
        <is>
          <t>Measurement</t>
        </is>
      </c>
      <c r="AE15" s="6" t="inlineStr">
        <is>
          <t>Measurement</t>
        </is>
      </c>
      <c r="AF15" s="6" t="inlineStr">
        <is>
          <t>Measurement</t>
        </is>
      </c>
      <c r="AG15" s="6" t="inlineStr">
        <is>
          <t>Measurement</t>
        </is>
      </c>
      <c r="AH15" s="6" t="inlineStr">
        <is>
          <t>Measurement</t>
        </is>
      </c>
      <c r="AI15" s="6" t="inlineStr">
        <is>
          <t>Measurement</t>
        </is>
      </c>
      <c r="AJ15" s="6" t="inlineStr">
        <is>
          <t>Measurement</t>
        </is>
      </c>
      <c r="AK15" s="6" t="inlineStr">
        <is>
          <t>Measurement</t>
        </is>
      </c>
      <c r="AL15" s="6" t="inlineStr">
        <is>
          <t>Measurement</t>
        </is>
      </c>
      <c r="AM15" s="6" t="inlineStr">
        <is>
          <t>Measurement</t>
        </is>
      </c>
      <c r="AN15" s="6" t="inlineStr">
        <is>
          <t>Measurement</t>
        </is>
      </c>
      <c r="AO15" s="6" t="inlineStr">
        <is>
          <t>Measurement</t>
        </is>
      </c>
      <c r="AP15" s="6" t="inlineStr">
        <is>
          <t>Measurement</t>
        </is>
      </c>
      <c r="AQ15" s="6" t="inlineStr">
        <is>
          <t>Measurement</t>
        </is>
      </c>
      <c r="AR15" s="6" t="inlineStr">
        <is>
          <t>Measurement</t>
        </is>
      </c>
      <c r="AS15" s="6" t="inlineStr">
        <is>
          <t>Measurement</t>
        </is>
      </c>
      <c r="AT15" s="6" t="inlineStr">
        <is>
          <t>Measurement</t>
        </is>
      </c>
      <c r="AU15" s="6" t="inlineStr">
        <is>
          <t>Measurement</t>
        </is>
      </c>
      <c r="AV15" s="6" t="inlineStr">
        <is>
          <t>Measurement</t>
        </is>
      </c>
      <c r="AW15" s="6" t="inlineStr">
        <is>
          <t>Measurement</t>
        </is>
      </c>
      <c r="AX15" s="6" t="inlineStr">
        <is>
          <t>Measurement</t>
        </is>
      </c>
      <c r="AY15" s="6" t="inlineStr">
        <is>
          <t>Measurement</t>
        </is>
      </c>
      <c r="AZ15" s="6" t="inlineStr">
        <is>
          <t>Measurement</t>
        </is>
      </c>
      <c r="BA15" s="6" t="inlineStr">
        <is>
          <t>Measurement</t>
        </is>
      </c>
      <c r="BB15" s="6" t="inlineStr">
        <is>
          <t>Measurement</t>
        </is>
      </c>
      <c r="BC15" s="6" t="inlineStr"/>
      <c r="BD15" s="6" t="inlineStr"/>
      <c r="BE15" s="14" t="n"/>
      <c r="BF15" s="14" t="n"/>
      <c r="BG15" s="14" t="n"/>
      <c r="BH15" s="14" t="n"/>
    </row>
    <row r="16">
      <c r="B16" s="9" t="n"/>
      <c r="C16" s="9" t="n"/>
      <c r="D16" s="6" t="inlineStr">
        <is>
          <t>Site 3</t>
        </is>
      </c>
      <c r="E16" s="6" t="inlineStr">
        <is>
          <t>Site 4</t>
        </is>
      </c>
      <c r="F16" s="6" t="inlineStr">
        <is>
          <t>Site 5</t>
        </is>
      </c>
      <c r="G16" s="6" t="inlineStr">
        <is>
          <t>Site 6</t>
        </is>
      </c>
      <c r="H16" s="6" t="inlineStr">
        <is>
          <t>Site 7</t>
        </is>
      </c>
      <c r="I16" s="6" t="inlineStr">
        <is>
          <t>Site 8</t>
        </is>
      </c>
      <c r="J16" s="6" t="inlineStr">
        <is>
          <t>Site 9</t>
        </is>
      </c>
      <c r="K16" s="6" t="inlineStr">
        <is>
          <t>Site 10</t>
        </is>
      </c>
      <c r="L16" s="6" t="inlineStr">
        <is>
          <t>Site 11</t>
        </is>
      </c>
      <c r="M16" s="6" t="inlineStr">
        <is>
          <t>Site 12</t>
        </is>
      </c>
      <c r="N16" s="6" t="inlineStr">
        <is>
          <t>Site 13</t>
        </is>
      </c>
      <c r="O16" s="6" t="inlineStr">
        <is>
          <t>Site 14</t>
        </is>
      </c>
      <c r="P16" s="6" t="inlineStr">
        <is>
          <t>Site 15</t>
        </is>
      </c>
      <c r="Q16" s="6" t="inlineStr">
        <is>
          <t>Site 16</t>
        </is>
      </c>
      <c r="R16" s="6" t="inlineStr">
        <is>
          <t>Site 17</t>
        </is>
      </c>
      <c r="S16" s="6" t="inlineStr">
        <is>
          <t>Site 18</t>
        </is>
      </c>
      <c r="T16" s="6" t="inlineStr">
        <is>
          <t>Site 19</t>
        </is>
      </c>
      <c r="U16" s="6" t="inlineStr">
        <is>
          <t>Site 20</t>
        </is>
      </c>
      <c r="V16" s="6" t="inlineStr">
        <is>
          <t>Site 21</t>
        </is>
      </c>
      <c r="W16" s="6" t="inlineStr">
        <is>
          <t>Site 22</t>
        </is>
      </c>
      <c r="X16" s="6" t="inlineStr">
        <is>
          <t>Site 23</t>
        </is>
      </c>
      <c r="Y16" s="6" t="inlineStr">
        <is>
          <t>Site 24</t>
        </is>
      </c>
      <c r="Z16" s="6" t="inlineStr">
        <is>
          <t>Site 25</t>
        </is>
      </c>
      <c r="AA16" s="6" t="inlineStr">
        <is>
          <t>Site 26</t>
        </is>
      </c>
      <c r="AB16" s="6" t="inlineStr">
        <is>
          <t>Site 27</t>
        </is>
      </c>
      <c r="AC16" s="6" t="inlineStr">
        <is>
          <t>Site 28</t>
        </is>
      </c>
      <c r="AD16" s="6" t="inlineStr">
        <is>
          <t>Site 29</t>
        </is>
      </c>
      <c r="AE16" s="6" t="inlineStr">
        <is>
          <t>Site 30</t>
        </is>
      </c>
      <c r="AF16" s="6" t="inlineStr">
        <is>
          <t>Site 31</t>
        </is>
      </c>
      <c r="AG16" s="6" t="inlineStr">
        <is>
          <t>Site 32</t>
        </is>
      </c>
      <c r="AH16" s="6" t="inlineStr">
        <is>
          <t>Site 33</t>
        </is>
      </c>
      <c r="AI16" s="6" t="inlineStr">
        <is>
          <t>Site 34</t>
        </is>
      </c>
      <c r="AJ16" s="6" t="inlineStr">
        <is>
          <t>Site 35</t>
        </is>
      </c>
      <c r="AK16" s="6" t="inlineStr">
        <is>
          <t>Site 36</t>
        </is>
      </c>
      <c r="AL16" s="6" t="inlineStr">
        <is>
          <t>Site 37</t>
        </is>
      </c>
      <c r="AM16" s="6" t="inlineStr">
        <is>
          <t>Site 38</t>
        </is>
      </c>
      <c r="AN16" s="6" t="inlineStr">
        <is>
          <t>Site 39</t>
        </is>
      </c>
      <c r="AO16" s="6" t="inlineStr">
        <is>
          <t>Site 40</t>
        </is>
      </c>
      <c r="AP16" s="6" t="inlineStr">
        <is>
          <t>Site 41</t>
        </is>
      </c>
      <c r="AQ16" s="6" t="inlineStr">
        <is>
          <t>Site 42</t>
        </is>
      </c>
      <c r="AR16" s="6" t="inlineStr">
        <is>
          <t>Site 43</t>
        </is>
      </c>
      <c r="AS16" s="6" t="inlineStr">
        <is>
          <t>Site 44</t>
        </is>
      </c>
      <c r="AT16" s="6" t="inlineStr">
        <is>
          <t>Site 45</t>
        </is>
      </c>
      <c r="AU16" s="6" t="inlineStr">
        <is>
          <t>Site 46</t>
        </is>
      </c>
      <c r="AV16" s="6" t="inlineStr">
        <is>
          <t>Site 47</t>
        </is>
      </c>
      <c r="AW16" s="6" t="inlineStr">
        <is>
          <t>Site 48</t>
        </is>
      </c>
      <c r="AX16" s="6" t="inlineStr">
        <is>
          <t>Site 49</t>
        </is>
      </c>
      <c r="AY16" s="6" t="inlineStr">
        <is>
          <t>Site 50</t>
        </is>
      </c>
      <c r="AZ16" s="6" t="inlineStr">
        <is>
          <t>Site 51</t>
        </is>
      </c>
      <c r="BA16" s="6" t="inlineStr">
        <is>
          <t>Site 52</t>
        </is>
      </c>
      <c r="BB16" s="6" t="inlineStr">
        <is>
          <t>Site 53</t>
        </is>
      </c>
      <c r="BC16" s="6" t="inlineStr"/>
      <c r="BD16" s="6" t="inlineStr"/>
      <c r="BE16" s="14" t="n"/>
      <c r="BF16" s="14" t="n"/>
      <c r="BG16" s="14" t="n"/>
      <c r="BH16" s="14" t="n"/>
    </row>
    <row r="17">
      <c r="B17" s="10" t="n"/>
      <c r="C17" s="10" t="n"/>
      <c r="D17" s="6" t="inlineStr">
        <is>
          <t>um</t>
        </is>
      </c>
      <c r="E17" s="6" t="inlineStr">
        <is>
          <t>um</t>
        </is>
      </c>
      <c r="F17" s="6" t="inlineStr">
        <is>
          <t>um</t>
        </is>
      </c>
      <c r="G17" s="6" t="inlineStr">
        <is>
          <t>um</t>
        </is>
      </c>
      <c r="H17" s="6" t="inlineStr">
        <is>
          <t>um</t>
        </is>
      </c>
      <c r="I17" s="6" t="inlineStr">
        <is>
          <t>um</t>
        </is>
      </c>
      <c r="J17" s="6" t="inlineStr">
        <is>
          <t>um</t>
        </is>
      </c>
      <c r="K17" s="6" t="inlineStr">
        <is>
          <t>um</t>
        </is>
      </c>
      <c r="L17" s="6" t="inlineStr">
        <is>
          <t>um</t>
        </is>
      </c>
      <c r="M17" s="6" t="inlineStr">
        <is>
          <t>um</t>
        </is>
      </c>
      <c r="N17" s="6" t="inlineStr">
        <is>
          <t>um</t>
        </is>
      </c>
      <c r="O17" s="6" t="inlineStr">
        <is>
          <t>um</t>
        </is>
      </c>
      <c r="P17" s="6" t="inlineStr">
        <is>
          <t>um</t>
        </is>
      </c>
      <c r="Q17" s="6" t="inlineStr">
        <is>
          <t>um</t>
        </is>
      </c>
      <c r="R17" s="6" t="inlineStr">
        <is>
          <t>um</t>
        </is>
      </c>
      <c r="S17" s="6" t="inlineStr">
        <is>
          <t>um</t>
        </is>
      </c>
      <c r="T17" s="6" t="inlineStr">
        <is>
          <t>um</t>
        </is>
      </c>
      <c r="U17" s="6" t="inlineStr">
        <is>
          <t>um</t>
        </is>
      </c>
      <c r="V17" s="6" t="inlineStr">
        <is>
          <t>um</t>
        </is>
      </c>
      <c r="W17" s="6" t="inlineStr">
        <is>
          <t>um</t>
        </is>
      </c>
      <c r="X17" s="6" t="inlineStr">
        <is>
          <t>um</t>
        </is>
      </c>
      <c r="Y17" s="6" t="inlineStr">
        <is>
          <t>um</t>
        </is>
      </c>
      <c r="Z17" s="6" t="inlineStr">
        <is>
          <t>um</t>
        </is>
      </c>
      <c r="AA17" s="6" t="inlineStr">
        <is>
          <t>um</t>
        </is>
      </c>
      <c r="AB17" s="6" t="inlineStr">
        <is>
          <t>um</t>
        </is>
      </c>
      <c r="AC17" s="6" t="inlineStr">
        <is>
          <t>um</t>
        </is>
      </c>
      <c r="AD17" s="6" t="inlineStr">
        <is>
          <t>um</t>
        </is>
      </c>
      <c r="AE17" s="6" t="inlineStr">
        <is>
          <t>um</t>
        </is>
      </c>
      <c r="AF17" s="6" t="inlineStr">
        <is>
          <t>um</t>
        </is>
      </c>
      <c r="AG17" s="6" t="inlineStr">
        <is>
          <t>um</t>
        </is>
      </c>
      <c r="AH17" s="6" t="inlineStr">
        <is>
          <t>um</t>
        </is>
      </c>
      <c r="AI17" s="6" t="inlineStr">
        <is>
          <t>um</t>
        </is>
      </c>
      <c r="AJ17" s="6" t="inlineStr">
        <is>
          <t>um</t>
        </is>
      </c>
      <c r="AK17" s="6" t="inlineStr">
        <is>
          <t>um</t>
        </is>
      </c>
      <c r="AL17" s="6" t="inlineStr">
        <is>
          <t>um</t>
        </is>
      </c>
      <c r="AM17" s="6" t="inlineStr">
        <is>
          <t>um</t>
        </is>
      </c>
      <c r="AN17" s="6" t="inlineStr">
        <is>
          <t>um</t>
        </is>
      </c>
      <c r="AO17" s="6" t="inlineStr">
        <is>
          <t>um</t>
        </is>
      </c>
      <c r="AP17" s="6" t="inlineStr">
        <is>
          <t>um</t>
        </is>
      </c>
      <c r="AQ17" s="6" t="inlineStr">
        <is>
          <t>um</t>
        </is>
      </c>
      <c r="AR17" s="6" t="inlineStr">
        <is>
          <t>um</t>
        </is>
      </c>
      <c r="AS17" s="6" t="inlineStr">
        <is>
          <t>um</t>
        </is>
      </c>
      <c r="AT17" s="6" t="inlineStr">
        <is>
          <t>um</t>
        </is>
      </c>
      <c r="AU17" s="6" t="inlineStr">
        <is>
          <t>um</t>
        </is>
      </c>
      <c r="AV17" s="6" t="inlineStr">
        <is>
          <t>um</t>
        </is>
      </c>
      <c r="AW17" s="6" t="inlineStr">
        <is>
          <t>um</t>
        </is>
      </c>
      <c r="AX17" s="6" t="inlineStr">
        <is>
          <t>um</t>
        </is>
      </c>
      <c r="AY17" s="6" t="inlineStr">
        <is>
          <t>um</t>
        </is>
      </c>
      <c r="AZ17" s="6" t="inlineStr">
        <is>
          <t>um</t>
        </is>
      </c>
      <c r="BA17" s="6" t="inlineStr">
        <is>
          <t>um</t>
        </is>
      </c>
      <c r="BB17" s="6" t="inlineStr">
        <is>
          <t>um</t>
        </is>
      </c>
      <c r="BC17" s="6" t="inlineStr">
        <is>
          <t>Wafer Average</t>
        </is>
      </c>
      <c r="BD17" s="6" t="inlineStr">
        <is>
          <t>Wafer Uniformity</t>
        </is>
      </c>
      <c r="BE17" s="14" t="n"/>
      <c r="BF17" s="14" t="n"/>
      <c r="BG17" s="14" t="n"/>
      <c r="BH17" s="14" t="n"/>
    </row>
    <row r="18">
      <c r="B18" s="7" t="n">
        <v>6</v>
      </c>
      <c r="C18" s="7" t="n">
        <v/>
      </c>
      <c r="D18" s="7" t="n">
        <v>3.5785</v>
      </c>
      <c r="E18" s="7" t="n">
        <v>3.5913</v>
      </c>
      <c r="F18" s="7" t="n">
        <v>3.5999</v>
      </c>
      <c r="G18" s="7" t="n">
        <v>3.6038</v>
      </c>
      <c r="H18" s="7" t="n">
        <v>3.6027</v>
      </c>
      <c r="I18" s="7" t="n">
        <v>3.5967</v>
      </c>
      <c r="J18" s="7" t="n">
        <v>3.5862</v>
      </c>
      <c r="K18" s="7" t="n">
        <v>3.5719</v>
      </c>
      <c r="L18" s="7" t="n">
        <v>3.5545</v>
      </c>
      <c r="M18" s="7" t="n">
        <v>3.5353</v>
      </c>
      <c r="N18" s="7" t="n">
        <v>3.5153</v>
      </c>
      <c r="O18" s="7" t="n">
        <v>3.4959</v>
      </c>
      <c r="P18" s="7" t="n">
        <v>3.4783</v>
      </c>
      <c r="Q18" s="7" t="n">
        <v>3.4635</v>
      </c>
      <c r="R18" s="7" t="n">
        <v>3.4524</v>
      </c>
      <c r="S18" s="7" t="n">
        <v>3.4458</v>
      </c>
      <c r="T18" s="7" t="n">
        <v>3.4441</v>
      </c>
      <c r="U18" s="7" t="n">
        <v>3.4473</v>
      </c>
      <c r="V18" s="7" t="n">
        <v>3.4553</v>
      </c>
      <c r="W18" s="7" t="n">
        <v>3.4676</v>
      </c>
      <c r="X18" s="7" t="n">
        <v>3.4833</v>
      </c>
      <c r="Y18" s="7" t="n">
        <v>3.5016</v>
      </c>
      <c r="Z18" s="7" t="n">
        <v>3.5213</v>
      </c>
      <c r="AA18" s="7" t="n">
        <v>3.5412</v>
      </c>
      <c r="AB18" s="7" t="n">
        <v>3.56</v>
      </c>
      <c r="AC18" s="7" t="n">
        <v>3.5766</v>
      </c>
      <c r="AD18" s="7" t="n">
        <v>3.5898</v>
      </c>
      <c r="AE18" s="7" t="n">
        <v>3.599</v>
      </c>
      <c r="AF18" s="7" t="n">
        <v>3.6036</v>
      </c>
      <c r="AG18" s="7" t="n">
        <v>3.6031</v>
      </c>
      <c r="AH18" s="7" t="n">
        <v>3.5978</v>
      </c>
      <c r="AI18" s="7" t="n">
        <v>3.5879</v>
      </c>
      <c r="AJ18" s="7" t="n">
        <v>3.574</v>
      </c>
      <c r="AK18" s="7" t="n">
        <v>3.557</v>
      </c>
      <c r="AL18" s="7" t="n">
        <v>3.5379</v>
      </c>
      <c r="AM18" s="7" t="n">
        <v>3.518</v>
      </c>
      <c r="AN18" s="7" t="n">
        <v>3.4984</v>
      </c>
      <c r="AO18" s="7" t="n">
        <v>3.4805</v>
      </c>
      <c r="AP18" s="7" t="n">
        <v>3.4652</v>
      </c>
      <c r="AQ18" s="7" t="n">
        <v>3.4536</v>
      </c>
      <c r="AR18" s="7" t="n">
        <v>3.4464</v>
      </c>
      <c r="AS18" s="7" t="n">
        <v>3.444</v>
      </c>
      <c r="AT18" s="7" t="n">
        <v>3.4466</v>
      </c>
      <c r="AU18" s="7" t="n">
        <v>3.454</v>
      </c>
      <c r="AV18" s="7" t="n">
        <v>3.4657</v>
      </c>
      <c r="AW18" s="7" t="n">
        <v>3.4811</v>
      </c>
      <c r="AX18" s="7" t="n">
        <v>3.4991</v>
      </c>
      <c r="AY18" s="7" t="n">
        <v>3.5187</v>
      </c>
      <c r="AZ18" s="7" t="n">
        <v>3.5386</v>
      </c>
      <c r="BA18" s="7" t="n">
        <v>3.5576</v>
      </c>
      <c r="BB18" s="7" t="n">
        <v>3.5745</v>
      </c>
      <c r="BC18" s="7">
        <f>AVERAGE(R18:BB18)</f>
        <v/>
      </c>
      <c r="BD18" s="7">
        <f>MAX(R18:BB18)-MIN(R18:BB18)</f>
        <v/>
      </c>
      <c r="BE18" s="14" t="n"/>
      <c r="BF18" s="14" t="n"/>
      <c r="BG18" s="14" t="n"/>
      <c r="BH18" s="14" t="n"/>
    </row>
    <row r="19">
      <c r="B19" s="7" t="n">
        <v>7</v>
      </c>
      <c r="C19" s="7" t="n">
        <v/>
      </c>
      <c r="D19" s="7" t="n">
        <v>3.5825</v>
      </c>
      <c r="E19" s="7" t="n">
        <v>3.5953</v>
      </c>
      <c r="F19" s="7" t="n">
        <v>3.6039</v>
      </c>
      <c r="G19" s="7" t="n">
        <v>3.6078</v>
      </c>
      <c r="H19" s="7" t="n">
        <v>3.6067</v>
      </c>
      <c r="I19" s="7" t="n">
        <v>3.6007</v>
      </c>
      <c r="J19" s="7" t="n">
        <v>3.5902</v>
      </c>
      <c r="K19" s="7" t="n">
        <v>3.5759</v>
      </c>
      <c r="L19" s="7" t="n">
        <v>3.5585</v>
      </c>
      <c r="M19" s="7" t="n">
        <v>3.5393</v>
      </c>
      <c r="N19" s="7" t="n">
        <v>3.5193</v>
      </c>
      <c r="O19" s="7" t="n">
        <v>3.4999</v>
      </c>
      <c r="P19" s="7" t="n">
        <v>3.4823</v>
      </c>
      <c r="Q19" s="7" t="n">
        <v>3.4675</v>
      </c>
      <c r="R19" s="7" t="n">
        <v>3.4564</v>
      </c>
      <c r="S19" s="7" t="n">
        <v>3.4498</v>
      </c>
      <c r="T19" s="7" t="n">
        <v>3.4481</v>
      </c>
      <c r="U19" s="7" t="n">
        <v>3.4513</v>
      </c>
      <c r="V19" s="7" t="n">
        <v>3.4593</v>
      </c>
      <c r="W19" s="7" t="n">
        <v>3.4716</v>
      </c>
      <c r="X19" s="7" t="n">
        <v>3.4873</v>
      </c>
      <c r="Y19" s="7" t="n">
        <v>3.5056</v>
      </c>
      <c r="Z19" s="7" t="n">
        <v>3.5253</v>
      </c>
      <c r="AA19" s="7" t="n">
        <v>3.5452</v>
      </c>
      <c r="AB19" s="7" t="n">
        <v>3.564</v>
      </c>
      <c r="AC19" s="7" t="n">
        <v>3.5806</v>
      </c>
      <c r="AD19" s="7" t="n">
        <v>3.5938</v>
      </c>
      <c r="AE19" s="7" t="n">
        <v>3.603</v>
      </c>
      <c r="AF19" s="7" t="n">
        <v>3.6076</v>
      </c>
      <c r="AG19" s="7" t="n">
        <v>3.6071</v>
      </c>
      <c r="AH19" s="7" t="n">
        <v>3.6018</v>
      </c>
      <c r="AI19" s="7" t="n">
        <v>3.5919</v>
      </c>
      <c r="AJ19" s="7" t="n">
        <v>3.578</v>
      </c>
      <c r="AK19" s="7" t="n">
        <v>3.561</v>
      </c>
      <c r="AL19" s="7" t="n">
        <v>3.5419</v>
      </c>
      <c r="AM19" s="7" t="n">
        <v>3.522</v>
      </c>
      <c r="AN19" s="7" t="n">
        <v>3.5024</v>
      </c>
      <c r="AO19" s="7" t="n">
        <v>3.4845</v>
      </c>
      <c r="AP19" s="7" t="n">
        <v>3.4692</v>
      </c>
      <c r="AQ19" s="7" t="n">
        <v>3.4576</v>
      </c>
      <c r="AR19" s="7" t="n">
        <v>3.4504</v>
      </c>
      <c r="AS19" s="7" t="n">
        <v>3.448</v>
      </c>
      <c r="AT19" s="7" t="n">
        <v>3.4506</v>
      </c>
      <c r="AU19" s="7" t="n">
        <v>3.458</v>
      </c>
      <c r="AV19" s="7" t="n">
        <v>3.4697</v>
      </c>
      <c r="AW19" s="7" t="n">
        <v>3.4851</v>
      </c>
      <c r="AX19" s="7" t="n">
        <v>3.5031</v>
      </c>
      <c r="AY19" s="7" t="n">
        <v>3.5227</v>
      </c>
      <c r="AZ19" s="7" t="n">
        <v>3.5426</v>
      </c>
      <c r="BA19" s="7" t="n">
        <v>3.5616</v>
      </c>
      <c r="BB19" s="7" t="n">
        <v>3.5785</v>
      </c>
      <c r="BC19" s="7">
        <f>AVERAGE(R19:BB19)</f>
        <v/>
      </c>
      <c r="BD19" s="7">
        <f>MAX(R19:BB19)-MIN(R19:BB19)</f>
        <v/>
      </c>
      <c r="BE19" s="14" t="n"/>
      <c r="BF19" s="14" t="n"/>
      <c r="BG19" s="14" t="n"/>
      <c r="BH19" s="14" t="n"/>
    </row>
    <row r="20">
      <c r="B20" s="7" t="n">
        <v>8</v>
      </c>
      <c r="C20" s="7" t="n">
        <v/>
      </c>
      <c r="D20" s="7" t="n">
        <v>3.5865</v>
      </c>
      <c r="E20" s="7" t="n">
        <v>3.5993</v>
      </c>
      <c r="F20" s="7" t="n">
        <v>3.6079</v>
      </c>
      <c r="G20" s="7" t="n">
        <v>3.6118</v>
      </c>
      <c r="H20" s="7" t="n">
        <v>3.6107</v>
      </c>
      <c r="I20" s="7" t="n">
        <v>3.6047</v>
      </c>
      <c r="J20" s="7" t="n">
        <v>3.5942</v>
      </c>
      <c r="K20" s="7" t="n">
        <v>3.5799</v>
      </c>
      <c r="L20" s="7" t="n">
        <v>3.5625</v>
      </c>
      <c r="M20" s="7" t="n">
        <v>3.5433</v>
      </c>
      <c r="N20" s="7" t="n">
        <v>3.5233</v>
      </c>
      <c r="O20" s="7" t="n">
        <v>3.5039</v>
      </c>
      <c r="P20" s="7" t="n">
        <v>3.4863</v>
      </c>
      <c r="Q20" s="7" t="n">
        <v>3.4715</v>
      </c>
      <c r="R20" s="7" t="n">
        <v>3.4604</v>
      </c>
      <c r="S20" s="7" t="n">
        <v>3.4538</v>
      </c>
      <c r="T20" s="7" t="n">
        <v>3.4521</v>
      </c>
      <c r="U20" s="7" t="n">
        <v>3.4553</v>
      </c>
      <c r="V20" s="7" t="n">
        <v>3.4633</v>
      </c>
      <c r="W20" s="7" t="n">
        <v>3.4756</v>
      </c>
      <c r="X20" s="7" t="n">
        <v>3.4913</v>
      </c>
      <c r="Y20" s="7" t="n">
        <v>3.5096</v>
      </c>
      <c r="Z20" s="7" t="n">
        <v>3.5293</v>
      </c>
      <c r="AA20" s="7" t="n">
        <v>3.5492</v>
      </c>
      <c r="AB20" s="7" t="n">
        <v>3.568</v>
      </c>
      <c r="AC20" s="7" t="n">
        <v>3.5846</v>
      </c>
      <c r="AD20" s="7" t="n">
        <v>3.5978</v>
      </c>
      <c r="AE20" s="7" t="n">
        <v>3.607</v>
      </c>
      <c r="AF20" s="7" t="n">
        <v>3.6116</v>
      </c>
      <c r="AG20" s="7" t="n">
        <v>3.6111</v>
      </c>
      <c r="AH20" s="7" t="n">
        <v>3.6058</v>
      </c>
      <c r="AI20" s="7" t="n">
        <v>3.5959</v>
      </c>
      <c r="AJ20" s="7" t="n">
        <v>3.582</v>
      </c>
      <c r="AK20" s="7" t="n">
        <v>3.565</v>
      </c>
      <c r="AL20" s="7" t="n">
        <v>3.5459</v>
      </c>
      <c r="AM20" s="7" t="n">
        <v>3.526</v>
      </c>
      <c r="AN20" s="7" t="n">
        <v>3.5064</v>
      </c>
      <c r="AO20" s="7" t="n">
        <v>3.4885</v>
      </c>
      <c r="AP20" s="7" t="n">
        <v>3.4732</v>
      </c>
      <c r="AQ20" s="7" t="n">
        <v>3.4616</v>
      </c>
      <c r="AR20" s="7" t="n">
        <v>3.4544</v>
      </c>
      <c r="AS20" s="7" t="n">
        <v>3.452</v>
      </c>
      <c r="AT20" s="7" t="n">
        <v>3.4546</v>
      </c>
      <c r="AU20" s="7" t="n">
        <v>3.462</v>
      </c>
      <c r="AV20" s="7" t="n">
        <v>3.4737</v>
      </c>
      <c r="AW20" s="7" t="n">
        <v>3.4891</v>
      </c>
      <c r="AX20" s="7" t="n">
        <v>3.5071</v>
      </c>
      <c r="AY20" s="7" t="n">
        <v>3.5267</v>
      </c>
      <c r="AZ20" s="7" t="n">
        <v>3.5466</v>
      </c>
      <c r="BA20" s="7" t="n">
        <v>3.5656</v>
      </c>
      <c r="BB20" s="7" t="n">
        <v>3.5825</v>
      </c>
      <c r="BC20" s="7">
        <f>AVERAGE(R20:BB20)</f>
        <v/>
      </c>
      <c r="BD20" s="7">
        <f>MAX(R20:BB20)-MIN(R20:BB20)</f>
        <v/>
      </c>
      <c r="BE20" s="14" t="n"/>
      <c r="BF20" s="14" t="n"/>
      <c r="BG20" s="14" t="n"/>
      <c r="BH20" s="14" t="n"/>
    </row>
    <row r="21">
      <c r="B21" s="7" t="n">
        <v>9</v>
      </c>
      <c r="C21" s="7" t="n">
        <v/>
      </c>
      <c r="D21" s="7" t="n">
        <v>3.5905</v>
      </c>
      <c r="E21" s="7" t="n">
        <v>3.6033</v>
      </c>
      <c r="F21" s="7" t="n">
        <v>3.6119</v>
      </c>
      <c r="G21" s="7" t="n">
        <v>3.6158</v>
      </c>
      <c r="H21" s="7" t="n">
        <v>3.6147</v>
      </c>
      <c r="I21" s="7" t="n">
        <v>3.6087</v>
      </c>
      <c r="J21" s="7" t="n">
        <v>3.5982</v>
      </c>
      <c r="K21" s="7" t="n">
        <v>3.5839</v>
      </c>
      <c r="L21" s="7" t="n">
        <v>3.5665</v>
      </c>
      <c r="M21" s="7" t="n">
        <v>3.5473</v>
      </c>
      <c r="N21" s="7" t="n">
        <v>3.5273</v>
      </c>
      <c r="O21" s="7" t="n">
        <v>3.5079</v>
      </c>
      <c r="P21" s="7" t="n">
        <v>3.4903</v>
      </c>
      <c r="Q21" s="7" t="n">
        <v>3.4755</v>
      </c>
      <c r="R21" s="7" t="n">
        <v>3.4644</v>
      </c>
      <c r="S21" s="7" t="n">
        <v>3.4578</v>
      </c>
      <c r="T21" s="7" t="n">
        <v>3.4561</v>
      </c>
      <c r="U21" s="7" t="n">
        <v>3.4593</v>
      </c>
      <c r="V21" s="7" t="n">
        <v>3.4673</v>
      </c>
      <c r="W21" s="7" t="n">
        <v>3.4796</v>
      </c>
      <c r="X21" s="7" t="n">
        <v>3.4953</v>
      </c>
      <c r="Y21" s="7" t="n">
        <v>3.5136</v>
      </c>
      <c r="Z21" s="7" t="n">
        <v>3.5333</v>
      </c>
      <c r="AA21" s="7" t="n">
        <v>3.5532</v>
      </c>
      <c r="AB21" s="7" t="n">
        <v>3.572</v>
      </c>
      <c r="AC21" s="7" t="n">
        <v>3.5886</v>
      </c>
      <c r="AD21" s="7" t="n">
        <v>3.6018</v>
      </c>
      <c r="AE21" s="7" t="n">
        <v>3.611</v>
      </c>
      <c r="AF21" s="7" t="n">
        <v>3.6156</v>
      </c>
      <c r="AG21" s="7" t="n">
        <v>3.6151</v>
      </c>
      <c r="AH21" s="7" t="n">
        <v>3.6098</v>
      </c>
      <c r="AI21" s="7" t="n">
        <v>3.5999</v>
      </c>
      <c r="AJ21" s="7" t="n">
        <v>3.586</v>
      </c>
      <c r="AK21" s="7" t="n">
        <v>3.569</v>
      </c>
      <c r="AL21" s="7" t="n">
        <v>3.5499</v>
      </c>
      <c r="AM21" s="7" t="n">
        <v>3.53</v>
      </c>
      <c r="AN21" s="7" t="n">
        <v>3.5104</v>
      </c>
      <c r="AO21" s="7" t="n">
        <v>3.4925</v>
      </c>
      <c r="AP21" s="7" t="n">
        <v>3.4772</v>
      </c>
      <c r="AQ21" s="7" t="n">
        <v>3.4656</v>
      </c>
      <c r="AR21" s="7" t="n">
        <v>3.4584</v>
      </c>
      <c r="AS21" s="7" t="n">
        <v>3.456</v>
      </c>
      <c r="AT21" s="7" t="n">
        <v>3.4586</v>
      </c>
      <c r="AU21" s="7" t="n">
        <v>3.466</v>
      </c>
      <c r="AV21" s="7" t="n">
        <v>3.4777</v>
      </c>
      <c r="AW21" s="7" t="n">
        <v>3.4931</v>
      </c>
      <c r="AX21" s="7" t="n">
        <v>3.5111</v>
      </c>
      <c r="AY21" s="7" t="n">
        <v>3.5307</v>
      </c>
      <c r="AZ21" s="7" t="n">
        <v>3.5506</v>
      </c>
      <c r="BA21" s="7" t="n">
        <v>3.5696</v>
      </c>
      <c r="BB21" s="7" t="n">
        <v>3.5865</v>
      </c>
      <c r="BC21" s="7">
        <f>AVERAGE(R21:BB21)</f>
        <v/>
      </c>
      <c r="BD21" s="7">
        <f>MAX(R21:BB21)-MIN(R21:BB21)</f>
        <v/>
      </c>
      <c r="BE21" s="14" t="n"/>
      <c r="BF21" s="14" t="n"/>
      <c r="BG21" s="14" t="n"/>
      <c r="BH21" s="14" t="n"/>
    </row>
    <row r="22">
      <c r="B22" s="7" t="n">
        <v>10</v>
      </c>
      <c r="C22" s="7" t="n">
        <v/>
      </c>
      <c r="D22" s="7" t="n">
        <v>3.5945</v>
      </c>
      <c r="E22" s="7" t="n">
        <v>3.6073</v>
      </c>
      <c r="F22" s="7" t="n">
        <v>3.6159</v>
      </c>
      <c r="G22" s="7" t="n">
        <v>3.6198</v>
      </c>
      <c r="H22" s="7" t="n">
        <v>3.6187</v>
      </c>
      <c r="I22" s="7" t="n">
        <v>3.6127</v>
      </c>
      <c r="J22" s="7" t="n">
        <v>3.6022</v>
      </c>
      <c r="K22" s="7" t="n">
        <v>3.5879</v>
      </c>
      <c r="L22" s="7" t="n">
        <v>3.5705</v>
      </c>
      <c r="M22" s="7" t="n">
        <v>3.5513</v>
      </c>
      <c r="N22" s="7" t="n">
        <v>3.5313</v>
      </c>
      <c r="O22" s="7" t="n">
        <v>3.5119</v>
      </c>
      <c r="P22" s="7" t="n">
        <v>3.4943</v>
      </c>
      <c r="Q22" s="7" t="n">
        <v>3.4795</v>
      </c>
      <c r="R22" s="7" t="n">
        <v>3.4684</v>
      </c>
      <c r="S22" s="7" t="n">
        <v>3.4618</v>
      </c>
      <c r="T22" s="7" t="n">
        <v>3.4601</v>
      </c>
      <c r="U22" s="7" t="n">
        <v>3.4633</v>
      </c>
      <c r="V22" s="7" t="n">
        <v>3.4713</v>
      </c>
      <c r="W22" s="7" t="n">
        <v>3.4836</v>
      </c>
      <c r="X22" s="7" t="n">
        <v>3.4993</v>
      </c>
      <c r="Y22" s="7" t="n">
        <v>3.5176</v>
      </c>
      <c r="Z22" s="7" t="n">
        <v>3.5373</v>
      </c>
      <c r="AA22" s="7" t="n">
        <v>3.5572</v>
      </c>
      <c r="AB22" s="7" t="n">
        <v>3.576</v>
      </c>
      <c r="AC22" s="7" t="n">
        <v>3.5926</v>
      </c>
      <c r="AD22" s="7" t="n">
        <v>3.6058</v>
      </c>
      <c r="AE22" s="7" t="n">
        <v>3.615</v>
      </c>
      <c r="AF22" s="7" t="n">
        <v>3.6196</v>
      </c>
      <c r="AG22" s="7" t="n">
        <v>3.6191</v>
      </c>
      <c r="AH22" s="7" t="n">
        <v>3.6138</v>
      </c>
      <c r="AI22" s="7" t="n">
        <v>3.6039</v>
      </c>
      <c r="AJ22" s="7" t="n">
        <v>3.59</v>
      </c>
      <c r="AK22" s="7" t="n">
        <v>3.573</v>
      </c>
      <c r="AL22" s="7" t="n">
        <v>3.5539</v>
      </c>
      <c r="AM22" s="7" t="n">
        <v>3.534</v>
      </c>
      <c r="AN22" s="7" t="n">
        <v>3.5144</v>
      </c>
      <c r="AO22" s="7" t="n">
        <v>3.4965</v>
      </c>
      <c r="AP22" s="7" t="n">
        <v>3.4812</v>
      </c>
      <c r="AQ22" s="7" t="n">
        <v>3.4696</v>
      </c>
      <c r="AR22" s="7" t="n">
        <v>3.4624</v>
      </c>
      <c r="AS22" s="7" t="n">
        <v>3.46</v>
      </c>
      <c r="AT22" s="7" t="n">
        <v>3.4626</v>
      </c>
      <c r="AU22" s="7" t="n">
        <v>3.47</v>
      </c>
      <c r="AV22" s="7" t="n">
        <v>3.4817</v>
      </c>
      <c r="AW22" s="7" t="n">
        <v>3.4971</v>
      </c>
      <c r="AX22" s="7" t="n">
        <v>3.5151</v>
      </c>
      <c r="AY22" s="7" t="n">
        <v>3.5347</v>
      </c>
      <c r="AZ22" s="7" t="n">
        <v>3.5546</v>
      </c>
      <c r="BA22" s="7" t="n">
        <v>3.5736</v>
      </c>
      <c r="BB22" s="7" t="n">
        <v>3.5905</v>
      </c>
      <c r="BC22" s="7">
        <f>AVERAGE(R22:BB22)</f>
        <v/>
      </c>
      <c r="BD22" s="7">
        <f>MAX(R22:BB22)-MIN(R22:BB22)</f>
        <v/>
      </c>
      <c r="BE22" s="14" t="n"/>
      <c r="BF22" s="14" t="n"/>
      <c r="BG22" s="14" t="n"/>
      <c r="BH22" s="14" t="n"/>
    </row>
    <row r="23">
      <c r="BB23" s="8" t="inlineStr">
        <is>
          <t>Run Average</t>
        </is>
      </c>
      <c r="BC23" s="7">
        <f>AVERAGE(BC18:BC22)</f>
        <v/>
      </c>
      <c r="BE23" s="14" t="n"/>
      <c r="BF23" s="14" t="n"/>
      <c r="BG23" s="14" t="n"/>
      <c r="BH23" s="14" t="n"/>
    </row>
    <row r="24">
      <c r="BE24" s="14" t="n"/>
      <c r="BF24" s="14" t="n"/>
      <c r="BG24" s="14" t="n"/>
      <c r="BH24" s="14" t="n"/>
    </row>
    <row r="25">
      <c r="B25" s="15" t="inlineStr">
        <is>
          <t>Group 3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4" t="n"/>
      <c r="BF25" s="14" t="n"/>
      <c r="BG25" s="14" t="n"/>
      <c r="BH25" s="14" t="n"/>
    </row>
    <row r="26">
      <c r="B26" s="6" t="inlineStr">
        <is>
          <t>Measurement</t>
        </is>
      </c>
      <c r="C26" s="6" t="inlineStr">
        <is>
          <t>Measurement</t>
        </is>
      </c>
      <c r="D26" s="6" t="inlineStr">
        <is>
          <t>Measurement</t>
        </is>
      </c>
      <c r="E26" s="6" t="inlineStr">
        <is>
          <t>Measurement</t>
        </is>
      </c>
      <c r="F26" s="6" t="inlineStr">
        <is>
          <t>Measurement</t>
        </is>
      </c>
      <c r="G26" s="6" t="inlineStr">
        <is>
          <t>Measurement</t>
        </is>
      </c>
      <c r="H26" s="6" t="inlineStr">
        <is>
          <t>Measurement</t>
        </is>
      </c>
      <c r="I26" s="6" t="inlineStr">
        <is>
          <t>Measurement</t>
        </is>
      </c>
      <c r="J26" s="6" t="inlineStr">
        <is>
          <t>Measurement</t>
        </is>
      </c>
      <c r="K26" s="6" t="inlineStr">
        <is>
          <t>Measurement</t>
        </is>
      </c>
      <c r="L26" s="6" t="inlineStr">
        <is>
          <t>Measurement</t>
        </is>
      </c>
      <c r="M26" s="6" t="inlineStr">
        <is>
          <t>Measurement</t>
        </is>
      </c>
      <c r="N26" s="6" t="inlineStr">
        <is>
          <t>Measurement</t>
        </is>
      </c>
      <c r="O26" s="6" t="inlineStr">
        <is>
          <t>Measurement</t>
        </is>
      </c>
      <c r="P26" s="6" t="inlineStr">
        <is>
          <t>Measurement</t>
        </is>
      </c>
      <c r="Q26" s="6" t="inlineStr">
        <is>
          <t>Measurement</t>
        </is>
      </c>
      <c r="R26" s="6" t="inlineStr">
        <is>
          <t>Measurement</t>
        </is>
      </c>
      <c r="S26" s="6" t="inlineStr">
        <is>
          <t>Measurement</t>
        </is>
      </c>
      <c r="T26" s="6" t="inlineStr">
        <is>
          <t>Measurement</t>
        </is>
      </c>
      <c r="U26" s="6" t="inlineStr">
        <is>
          <t>Measurement</t>
        </is>
      </c>
      <c r="V26" s="6" t="inlineStr">
        <is>
          <t>Measurement</t>
        </is>
      </c>
      <c r="W26" s="6" t="inlineStr">
        <is>
          <t>Measurement</t>
        </is>
      </c>
      <c r="X26" s="6" t="inlineStr">
        <is>
          <t>Measurement</t>
        </is>
      </c>
      <c r="Y26" s="6" t="inlineStr">
        <is>
          <t>Measurement</t>
        </is>
      </c>
      <c r="Z26" s="6" t="inlineStr">
        <is>
          <t>Measurement</t>
        </is>
      </c>
      <c r="AA26" s="6" t="inlineStr">
        <is>
          <t>Measurement</t>
        </is>
      </c>
      <c r="AB26" s="6" t="inlineStr">
        <is>
          <t>Measurement</t>
        </is>
      </c>
      <c r="AC26" s="6" t="inlineStr">
        <is>
          <t>Measurement</t>
        </is>
      </c>
      <c r="AD26" s="6" t="inlineStr">
        <is>
          <t>Measurement</t>
        </is>
      </c>
      <c r="AE26" s="6" t="inlineStr">
        <is>
          <t>Measurement</t>
        </is>
      </c>
      <c r="AF26" s="6" t="inlineStr">
        <is>
          <t>Measurement</t>
        </is>
      </c>
      <c r="AG26" s="6" t="inlineStr">
        <is>
          <t>Measurement</t>
        </is>
      </c>
      <c r="AH26" s="6" t="inlineStr">
        <is>
          <t>Measurement</t>
        </is>
      </c>
      <c r="AI26" s="6" t="inlineStr">
        <is>
          <t>Measurement</t>
        </is>
      </c>
      <c r="AJ26" s="6" t="inlineStr">
        <is>
          <t>Measurement</t>
        </is>
      </c>
      <c r="AK26" s="6" t="inlineStr">
        <is>
          <t>Measurement</t>
        </is>
      </c>
      <c r="AL26" s="6" t="inlineStr">
        <is>
          <t>Measurement</t>
        </is>
      </c>
      <c r="AM26" s="6" t="inlineStr">
        <is>
          <t>Measurement</t>
        </is>
      </c>
      <c r="AN26" s="6" t="inlineStr">
        <is>
          <t>Measurement</t>
        </is>
      </c>
      <c r="AO26" s="6" t="inlineStr">
        <is>
          <t>Measurement</t>
        </is>
      </c>
      <c r="AP26" s="6" t="inlineStr">
        <is>
          <t>Measurement</t>
        </is>
      </c>
      <c r="AQ26" s="6" t="inlineStr">
        <is>
          <t>Measurement</t>
        </is>
      </c>
      <c r="AR26" s="6" t="inlineStr">
        <is>
          <t>Measurement</t>
        </is>
      </c>
      <c r="AS26" s="6" t="inlineStr">
        <is>
          <t>Measurement</t>
        </is>
      </c>
      <c r="AT26" s="6" t="inlineStr">
        <is>
          <t>Measurement</t>
        </is>
      </c>
      <c r="AU26" s="6" t="inlineStr">
        <is>
          <t>Measurement</t>
        </is>
      </c>
      <c r="AV26" s="6" t="inlineStr">
        <is>
          <t>Measurement</t>
        </is>
      </c>
      <c r="AW26" s="6" t="inlineStr">
        <is>
          <t>Measurement</t>
        </is>
      </c>
      <c r="AX26" s="6" t="inlineStr">
        <is>
          <t>Measurement</t>
        </is>
      </c>
      <c r="AY26" s="6" t="inlineStr">
        <is>
          <t>Measurement</t>
        </is>
      </c>
      <c r="AZ26" s="6" t="inlineStr">
        <is>
          <t>Measurement</t>
        </is>
      </c>
      <c r="BA26" s="6" t="inlineStr">
        <is>
          <t>Measurement</t>
        </is>
      </c>
      <c r="BB26" s="6" t="inlineStr">
        <is>
          <t>Measurement</t>
        </is>
      </c>
      <c r="BC26" s="6" t="inlineStr"/>
      <c r="BD26" s="6" t="inlineStr"/>
      <c r="BE26" s="14" t="n"/>
      <c r="BF26" s="14" t="n"/>
      <c r="BG26" s="14" t="n"/>
      <c r="BH26" s="14" t="n"/>
    </row>
    <row r="27">
      <c r="B27" s="9" t="n"/>
      <c r="C27" s="9" t="n"/>
      <c r="D27" s="6" t="inlineStr">
        <is>
          <t>Site 3</t>
        </is>
      </c>
      <c r="E27" s="6" t="inlineStr">
        <is>
          <t>Site 4</t>
        </is>
      </c>
      <c r="F27" s="6" t="inlineStr">
        <is>
          <t>Site 5</t>
        </is>
      </c>
      <c r="G27" s="6" t="inlineStr">
        <is>
          <t>Site 6</t>
        </is>
      </c>
      <c r="H27" s="6" t="inlineStr">
        <is>
          <t>Site 7</t>
        </is>
      </c>
      <c r="I27" s="6" t="inlineStr">
        <is>
          <t>Site 8</t>
        </is>
      </c>
      <c r="J27" s="6" t="inlineStr">
        <is>
          <t>Site 9</t>
        </is>
      </c>
      <c r="K27" s="6" t="inlineStr">
        <is>
          <t>Site 10</t>
        </is>
      </c>
      <c r="L27" s="6" t="inlineStr">
        <is>
          <t>Site 11</t>
        </is>
      </c>
      <c r="M27" s="6" t="inlineStr">
        <is>
          <t>Site 12</t>
        </is>
      </c>
      <c r="N27" s="6" t="inlineStr">
        <is>
          <t>Site 13</t>
        </is>
      </c>
      <c r="O27" s="6" t="inlineStr">
        <is>
          <t>Site 14</t>
        </is>
      </c>
      <c r="P27" s="6" t="inlineStr">
        <is>
          <t>Site 15</t>
        </is>
      </c>
      <c r="Q27" s="6" t="inlineStr">
        <is>
          <t>Site 16</t>
        </is>
      </c>
      <c r="R27" s="6" t="inlineStr">
        <is>
          <t>Site 17</t>
        </is>
      </c>
      <c r="S27" s="6" t="inlineStr">
        <is>
          <t>Site 18</t>
        </is>
      </c>
      <c r="T27" s="6" t="inlineStr">
        <is>
          <t>Site 19</t>
        </is>
      </c>
      <c r="U27" s="6" t="inlineStr">
        <is>
          <t>Site 20</t>
        </is>
      </c>
      <c r="V27" s="6" t="inlineStr">
        <is>
          <t>Site 21</t>
        </is>
      </c>
      <c r="W27" s="6" t="inlineStr">
        <is>
          <t>Site 22</t>
        </is>
      </c>
      <c r="X27" s="6" t="inlineStr">
        <is>
          <t>Site 23</t>
        </is>
      </c>
      <c r="Y27" s="6" t="inlineStr">
        <is>
          <t>Site 24</t>
        </is>
      </c>
      <c r="Z27" s="6" t="inlineStr">
        <is>
          <t>Site 25</t>
        </is>
      </c>
      <c r="AA27" s="6" t="inlineStr">
        <is>
          <t>Site 26</t>
        </is>
      </c>
      <c r="AB27" s="6" t="inlineStr">
        <is>
          <t>Site 27</t>
        </is>
      </c>
      <c r="AC27" s="6" t="inlineStr">
        <is>
          <t>Site 28</t>
        </is>
      </c>
      <c r="AD27" s="6" t="inlineStr">
        <is>
          <t>Site 29</t>
        </is>
      </c>
      <c r="AE27" s="6" t="inlineStr">
        <is>
          <t>Site 30</t>
        </is>
      </c>
      <c r="AF27" s="6" t="inlineStr">
        <is>
          <t>Site 31</t>
        </is>
      </c>
      <c r="AG27" s="6" t="inlineStr">
        <is>
          <t>Site 32</t>
        </is>
      </c>
      <c r="AH27" s="6" t="inlineStr">
        <is>
          <t>Site 33</t>
        </is>
      </c>
      <c r="AI27" s="6" t="inlineStr">
        <is>
          <t>Site 34</t>
        </is>
      </c>
      <c r="AJ27" s="6" t="inlineStr">
        <is>
          <t>Site 35</t>
        </is>
      </c>
      <c r="AK27" s="6" t="inlineStr">
        <is>
          <t>Site 36</t>
        </is>
      </c>
      <c r="AL27" s="6" t="inlineStr">
        <is>
          <t>Site 37</t>
        </is>
      </c>
      <c r="AM27" s="6" t="inlineStr">
        <is>
          <t>Site 38</t>
        </is>
      </c>
      <c r="AN27" s="6" t="inlineStr">
        <is>
          <t>Site 39</t>
        </is>
      </c>
      <c r="AO27" s="6" t="inlineStr">
        <is>
          <t>Site 40</t>
        </is>
      </c>
      <c r="AP27" s="6" t="inlineStr">
        <is>
          <t>Site 41</t>
        </is>
      </c>
      <c r="AQ27" s="6" t="inlineStr">
        <is>
          <t>Site 42</t>
        </is>
      </c>
      <c r="AR27" s="6" t="inlineStr">
        <is>
          <t>Site 43</t>
        </is>
      </c>
      <c r="AS27" s="6" t="inlineStr">
        <is>
          <t>Site 44</t>
        </is>
      </c>
      <c r="AT27" s="6" t="inlineStr">
        <is>
          <t>Site 45</t>
        </is>
      </c>
      <c r="AU27" s="6" t="inlineStr">
        <is>
          <t>Site 46</t>
        </is>
      </c>
      <c r="AV27" s="6" t="inlineStr">
        <is>
          <t>Site 47</t>
        </is>
      </c>
      <c r="AW27" s="6" t="inlineStr">
        <is>
          <t>Site 48</t>
        </is>
      </c>
      <c r="AX27" s="6" t="inlineStr">
        <is>
          <t>Site 49</t>
        </is>
      </c>
      <c r="AY27" s="6" t="inlineStr">
        <is>
          <t>Site 50</t>
        </is>
      </c>
      <c r="AZ27" s="6" t="inlineStr">
        <is>
          <t>Site 51</t>
        </is>
      </c>
      <c r="BA27" s="6" t="inlineStr">
        <is>
          <t>Site 52</t>
        </is>
      </c>
      <c r="BB27" s="6" t="inlineStr">
        <is>
          <t>Site 53</t>
        </is>
      </c>
      <c r="BC27" s="6" t="inlineStr"/>
      <c r="BD27" s="6" t="inlineStr"/>
      <c r="BE27" s="14" t="n"/>
      <c r="BF27" s="14" t="n"/>
      <c r="BG27" s="14" t="n"/>
      <c r="BH27" s="14" t="n"/>
    </row>
    <row r="28">
      <c r="B28" s="10" t="n"/>
      <c r="C28" s="10" t="n"/>
      <c r="D28" s="6" t="inlineStr">
        <is>
          <t>um</t>
        </is>
      </c>
      <c r="E28" s="6" t="inlineStr">
        <is>
          <t>um</t>
        </is>
      </c>
      <c r="F28" s="6" t="inlineStr">
        <is>
          <t>um</t>
        </is>
      </c>
      <c r="G28" s="6" t="inlineStr">
        <is>
          <t>um</t>
        </is>
      </c>
      <c r="H28" s="6" t="inlineStr">
        <is>
          <t>um</t>
        </is>
      </c>
      <c r="I28" s="6" t="inlineStr">
        <is>
          <t>um</t>
        </is>
      </c>
      <c r="J28" s="6" t="inlineStr">
        <is>
          <t>um</t>
        </is>
      </c>
      <c r="K28" s="6" t="inlineStr">
        <is>
          <t>um</t>
        </is>
      </c>
      <c r="L28" s="6" t="inlineStr">
        <is>
          <t>um</t>
        </is>
      </c>
      <c r="M28" s="6" t="inlineStr">
        <is>
          <t>um</t>
        </is>
      </c>
      <c r="N28" s="6" t="inlineStr">
        <is>
          <t>um</t>
        </is>
      </c>
      <c r="O28" s="6" t="inlineStr">
        <is>
          <t>um</t>
        </is>
      </c>
      <c r="P28" s="6" t="inlineStr">
        <is>
          <t>um</t>
        </is>
      </c>
      <c r="Q28" s="6" t="inlineStr">
        <is>
          <t>um</t>
        </is>
      </c>
      <c r="R28" s="6" t="inlineStr">
        <is>
          <t>um</t>
        </is>
      </c>
      <c r="S28" s="6" t="inlineStr">
        <is>
          <t>um</t>
        </is>
      </c>
      <c r="T28" s="6" t="inlineStr">
        <is>
          <t>um</t>
        </is>
      </c>
      <c r="U28" s="6" t="inlineStr">
        <is>
          <t>um</t>
        </is>
      </c>
      <c r="V28" s="6" t="inlineStr">
        <is>
          <t>um</t>
        </is>
      </c>
      <c r="W28" s="6" t="inlineStr">
        <is>
          <t>um</t>
        </is>
      </c>
      <c r="X28" s="6" t="inlineStr">
        <is>
          <t>um</t>
        </is>
      </c>
      <c r="Y28" s="6" t="inlineStr">
        <is>
          <t>um</t>
        </is>
      </c>
      <c r="Z28" s="6" t="inlineStr">
        <is>
          <t>um</t>
        </is>
      </c>
      <c r="AA28" s="6" t="inlineStr">
        <is>
          <t>um</t>
        </is>
      </c>
      <c r="AB28" s="6" t="inlineStr">
        <is>
          <t>um</t>
        </is>
      </c>
      <c r="AC28" s="6" t="inlineStr">
        <is>
          <t>um</t>
        </is>
      </c>
      <c r="AD28" s="6" t="inlineStr">
        <is>
          <t>um</t>
        </is>
      </c>
      <c r="AE28" s="6" t="inlineStr">
        <is>
          <t>um</t>
        </is>
      </c>
      <c r="AF28" s="6" t="inlineStr">
        <is>
          <t>um</t>
        </is>
      </c>
      <c r="AG28" s="6" t="inlineStr">
        <is>
          <t>um</t>
        </is>
      </c>
      <c r="AH28" s="6" t="inlineStr">
        <is>
          <t>um</t>
        </is>
      </c>
      <c r="AI28" s="6" t="inlineStr">
        <is>
          <t>um</t>
        </is>
      </c>
      <c r="AJ28" s="6" t="inlineStr">
        <is>
          <t>um</t>
        </is>
      </c>
      <c r="AK28" s="6" t="inlineStr">
        <is>
          <t>um</t>
        </is>
      </c>
      <c r="AL28" s="6" t="inlineStr">
        <is>
          <t>um</t>
        </is>
      </c>
      <c r="AM28" s="6" t="inlineStr">
        <is>
          <t>um</t>
        </is>
      </c>
      <c r="AN28" s="6" t="inlineStr">
        <is>
          <t>um</t>
        </is>
      </c>
      <c r="AO28" s="6" t="inlineStr">
        <is>
          <t>um</t>
        </is>
      </c>
      <c r="AP28" s="6" t="inlineStr">
        <is>
          <t>um</t>
        </is>
      </c>
      <c r="AQ28" s="6" t="inlineStr">
        <is>
          <t>um</t>
        </is>
      </c>
      <c r="AR28" s="6" t="inlineStr">
        <is>
          <t>um</t>
        </is>
      </c>
      <c r="AS28" s="6" t="inlineStr">
        <is>
          <t>um</t>
        </is>
      </c>
      <c r="AT28" s="6" t="inlineStr">
        <is>
          <t>um</t>
        </is>
      </c>
      <c r="AU28" s="6" t="inlineStr">
        <is>
          <t>um</t>
        </is>
      </c>
      <c r="AV28" s="6" t="inlineStr">
        <is>
          <t>um</t>
        </is>
      </c>
      <c r="AW28" s="6" t="inlineStr">
        <is>
          <t>um</t>
        </is>
      </c>
      <c r="AX28" s="6" t="inlineStr">
        <is>
          <t>um</t>
        </is>
      </c>
      <c r="AY28" s="6" t="inlineStr">
        <is>
          <t>um</t>
        </is>
      </c>
      <c r="AZ28" s="6" t="inlineStr">
        <is>
          <t>um</t>
        </is>
      </c>
      <c r="BA28" s="6" t="inlineStr">
        <is>
          <t>um</t>
        </is>
      </c>
      <c r="BB28" s="6" t="inlineStr">
        <is>
          <t>um</t>
        </is>
      </c>
      <c r="BC28" s="6" t="inlineStr">
        <is>
          <t>Wafer Average</t>
        </is>
      </c>
      <c r="BD28" s="6" t="inlineStr">
        <is>
          <t>Wafer Uniformity</t>
        </is>
      </c>
      <c r="BE28" s="14" t="n"/>
      <c r="BF28" s="14" t="n"/>
      <c r="BG28" s="14" t="n"/>
      <c r="BH28" s="14" t="n"/>
    </row>
    <row r="29">
      <c r="B29" s="7" t="n">
        <v>11</v>
      </c>
      <c r="C29" s="7" t="n">
        <v/>
      </c>
      <c r="D29" s="7" t="n">
        <v>3.5985</v>
      </c>
      <c r="E29" s="7" t="n">
        <v>3.6113</v>
      </c>
      <c r="F29" s="7" t="n">
        <v>3.6199</v>
      </c>
      <c r="G29" s="7" t="n">
        <v>3.6238</v>
      </c>
      <c r="H29" s="7" t="n">
        <v>3.6227</v>
      </c>
      <c r="I29" s="7" t="n">
        <v>3.6167</v>
      </c>
      <c r="J29" s="7" t="n">
        <v>3.6062</v>
      </c>
      <c r="K29" s="7" t="n">
        <v>3.5919</v>
      </c>
      <c r="L29" s="7" t="n">
        <v>3.5745</v>
      </c>
      <c r="M29" s="7" t="n">
        <v>3.5553</v>
      </c>
      <c r="N29" s="7" t="n">
        <v>3.5353</v>
      </c>
      <c r="O29" s="7" t="n">
        <v>3.5159</v>
      </c>
      <c r="P29" s="7" t="n">
        <v>3.4983</v>
      </c>
      <c r="Q29" s="7" t="n">
        <v>3.4835</v>
      </c>
      <c r="R29" s="7" t="n">
        <v>3.4724</v>
      </c>
      <c r="S29" s="7" t="n">
        <v>3.4658</v>
      </c>
      <c r="T29" s="7" t="n">
        <v>3.4641</v>
      </c>
      <c r="U29" s="7" t="n">
        <v>3.4673</v>
      </c>
      <c r="V29" s="7" t="n">
        <v>3.4753</v>
      </c>
      <c r="W29" s="7" t="n">
        <v>3.4876</v>
      </c>
      <c r="X29" s="7" t="n">
        <v>3.5033</v>
      </c>
      <c r="Y29" s="7" t="n">
        <v>3.5216</v>
      </c>
      <c r="Z29" s="7" t="n">
        <v>3.5413</v>
      </c>
      <c r="AA29" s="7" t="n">
        <v>3.5612</v>
      </c>
      <c r="AB29" s="7" t="n">
        <v>3.58</v>
      </c>
      <c r="AC29" s="7" t="n">
        <v>3.5966</v>
      </c>
      <c r="AD29" s="7" t="n">
        <v>3.6098</v>
      </c>
      <c r="AE29" s="7" t="n">
        <v>3.619</v>
      </c>
      <c r="AF29" s="7" t="n">
        <v>3.6236</v>
      </c>
      <c r="AG29" s="7" t="n">
        <v>3.6231</v>
      </c>
      <c r="AH29" s="7" t="n">
        <v>3.6178</v>
      </c>
      <c r="AI29" s="7" t="n">
        <v>3.6079</v>
      </c>
      <c r="AJ29" s="7" t="n">
        <v>3.594</v>
      </c>
      <c r="AK29" s="7" t="n">
        <v>3.577</v>
      </c>
      <c r="AL29" s="7" t="n">
        <v>3.5579</v>
      </c>
      <c r="AM29" s="7" t="n">
        <v>3.538</v>
      </c>
      <c r="AN29" s="7" t="n">
        <v>3.5184</v>
      </c>
      <c r="AO29" s="7" t="n">
        <v>3.5005</v>
      </c>
      <c r="AP29" s="7" t="n">
        <v>3.4852</v>
      </c>
      <c r="AQ29" s="7" t="n">
        <v>3.4736</v>
      </c>
      <c r="AR29" s="7" t="n">
        <v>3.4664</v>
      </c>
      <c r="AS29" s="7" t="n">
        <v>3.464</v>
      </c>
      <c r="AT29" s="7" t="n">
        <v>3.4666</v>
      </c>
      <c r="AU29" s="7" t="n">
        <v>3.474</v>
      </c>
      <c r="AV29" s="7" t="n">
        <v>3.4857</v>
      </c>
      <c r="AW29" s="7" t="n">
        <v>3.5011</v>
      </c>
      <c r="AX29" s="7" t="n">
        <v>3.5191</v>
      </c>
      <c r="AY29" s="7" t="n">
        <v>3.5387</v>
      </c>
      <c r="AZ29" s="7" t="n">
        <v>3.5586</v>
      </c>
      <c r="BA29" s="7" t="n">
        <v>3.5776</v>
      </c>
      <c r="BB29" s="7" t="n">
        <v>3.5945</v>
      </c>
      <c r="BC29" s="7">
        <f>AVERAGE(R29:BB29)</f>
        <v/>
      </c>
      <c r="BD29" s="7">
        <f>MAX(R29:BB29)-MIN(R29:BB29)</f>
        <v/>
      </c>
      <c r="BE29" s="14" t="n"/>
      <c r="BF29" s="14" t="n"/>
      <c r="BG29" s="14" t="n"/>
      <c r="BH29" s="14" t="n"/>
    </row>
    <row r="30">
      <c r="B30" s="7" t="n">
        <v>12</v>
      </c>
      <c r="C30" s="7" t="n">
        <v/>
      </c>
      <c r="D30" s="7" t="n">
        <v>3.6025</v>
      </c>
      <c r="E30" s="7" t="n">
        <v>3.6153</v>
      </c>
      <c r="F30" s="7" t="n">
        <v>3.6239</v>
      </c>
      <c r="G30" s="7" t="n">
        <v>3.6278</v>
      </c>
      <c r="H30" s="7" t="n">
        <v>3.6267</v>
      </c>
      <c r="I30" s="7" t="n">
        <v>3.6207</v>
      </c>
      <c r="J30" s="7" t="n">
        <v>3.6102</v>
      </c>
      <c r="K30" s="7" t="n">
        <v>3.5959</v>
      </c>
      <c r="L30" s="7" t="n">
        <v>3.5785</v>
      </c>
      <c r="M30" s="7" t="n">
        <v>3.5593</v>
      </c>
      <c r="N30" s="7" t="n">
        <v>3.5393</v>
      </c>
      <c r="O30" s="7" t="n">
        <v>3.5199</v>
      </c>
      <c r="P30" s="7" t="n">
        <v>3.5023</v>
      </c>
      <c r="Q30" s="7" t="n">
        <v>3.4875</v>
      </c>
      <c r="R30" s="7" t="n">
        <v>3.4764</v>
      </c>
      <c r="S30" s="7" t="n">
        <v>3.4698</v>
      </c>
      <c r="T30" s="7" t="n">
        <v>3.4681</v>
      </c>
      <c r="U30" s="7" t="n">
        <v>3.4713</v>
      </c>
      <c r="V30" s="7" t="n">
        <v>3.4793</v>
      </c>
      <c r="W30" s="7" t="n">
        <v>3.4916</v>
      </c>
      <c r="X30" s="7" t="n">
        <v>3.5073</v>
      </c>
      <c r="Y30" s="7" t="n">
        <v>3.5256</v>
      </c>
      <c r="Z30" s="7" t="n">
        <v>3.5453</v>
      </c>
      <c r="AA30" s="7" t="n">
        <v>3.5652</v>
      </c>
      <c r="AB30" s="7" t="n">
        <v>3.584</v>
      </c>
      <c r="AC30" s="7" t="n">
        <v>3.6006</v>
      </c>
      <c r="AD30" s="7" t="n">
        <v>3.6138</v>
      </c>
      <c r="AE30" s="7" t="n">
        <v>3.623</v>
      </c>
      <c r="AF30" s="7" t="n">
        <v>3.6276</v>
      </c>
      <c r="AG30" s="7" t="n">
        <v>3.6271</v>
      </c>
      <c r="AH30" s="7" t="n">
        <v>3.6218</v>
      </c>
      <c r="AI30" s="7" t="n">
        <v>3.6119</v>
      </c>
      <c r="AJ30" s="7" t="n">
        <v>3.598</v>
      </c>
      <c r="AK30" s="7" t="n">
        <v>3.581</v>
      </c>
      <c r="AL30" s="7" t="n">
        <v>3.5619</v>
      </c>
      <c r="AM30" s="7" t="n">
        <v>3.542</v>
      </c>
      <c r="AN30" s="7" t="n">
        <v>3.5224</v>
      </c>
      <c r="AO30" s="7" t="n">
        <v>3.5045</v>
      </c>
      <c r="AP30" s="7" t="n">
        <v>3.4892</v>
      </c>
      <c r="AQ30" s="7" t="n">
        <v>3.4776</v>
      </c>
      <c r="AR30" s="7" t="n">
        <v>3.4704</v>
      </c>
      <c r="AS30" s="7" t="n">
        <v>3.468</v>
      </c>
      <c r="AT30" s="7" t="n">
        <v>3.4706</v>
      </c>
      <c r="AU30" s="7" t="n">
        <v>3.478</v>
      </c>
      <c r="AV30" s="7" t="n">
        <v>3.4897</v>
      </c>
      <c r="AW30" s="7" t="n">
        <v>3.5051</v>
      </c>
      <c r="AX30" s="7" t="n">
        <v>3.5231</v>
      </c>
      <c r="AY30" s="7" t="n">
        <v>3.5427</v>
      </c>
      <c r="AZ30" s="7" t="n">
        <v>3.5626</v>
      </c>
      <c r="BA30" s="7" t="n">
        <v>3.5816</v>
      </c>
      <c r="BB30" s="7" t="n">
        <v>3.5985</v>
      </c>
      <c r="BC30" s="7">
        <f>AVERAGE(R30:BB30)</f>
        <v/>
      </c>
      <c r="BD30" s="7">
        <f>MAX(R30:BB30)-MIN(R30:BB30)</f>
        <v/>
      </c>
      <c r="BE30" s="14" t="n"/>
      <c r="BF30" s="14" t="n"/>
      <c r="BG30" s="14" t="n"/>
      <c r="BH30" s="14" t="n"/>
    </row>
    <row r="31">
      <c r="B31" s="7" t="n">
        <v>13</v>
      </c>
      <c r="C31" s="7" t="n">
        <v/>
      </c>
      <c r="D31" s="7" t="n">
        <v>3.6065</v>
      </c>
      <c r="E31" s="7" t="n">
        <v>3.6193</v>
      </c>
      <c r="F31" s="7" t="n">
        <v>3.6279</v>
      </c>
      <c r="G31" s="7" t="n">
        <v>3.6318</v>
      </c>
      <c r="H31" s="7" t="n">
        <v>3.6307</v>
      </c>
      <c r="I31" s="7" t="n">
        <v>3.6247</v>
      </c>
      <c r="J31" s="7" t="n">
        <v>3.6142</v>
      </c>
      <c r="K31" s="7" t="n">
        <v>3.5999</v>
      </c>
      <c r="L31" s="7" t="n">
        <v>3.5825</v>
      </c>
      <c r="M31" s="7" t="n">
        <v>3.5633</v>
      </c>
      <c r="N31" s="7" t="n">
        <v>3.5433</v>
      </c>
      <c r="O31" s="7" t="n">
        <v>3.5239</v>
      </c>
      <c r="P31" s="7" t="n">
        <v>3.5063</v>
      </c>
      <c r="Q31" s="7" t="n">
        <v>3.4915</v>
      </c>
      <c r="R31" s="7" t="n">
        <v>3.4804</v>
      </c>
      <c r="S31" s="7" t="n">
        <v>3.4738</v>
      </c>
      <c r="T31" s="7" t="n">
        <v>3.4721</v>
      </c>
      <c r="U31" s="7" t="n">
        <v>3.4753</v>
      </c>
      <c r="V31" s="7" t="n">
        <v>3.4833</v>
      </c>
      <c r="W31" s="7" t="n">
        <v>3.4956</v>
      </c>
      <c r="X31" s="7" t="n">
        <v>3.5113</v>
      </c>
      <c r="Y31" s="7" t="n">
        <v>3.5296</v>
      </c>
      <c r="Z31" s="7" t="n">
        <v>3.5493</v>
      </c>
      <c r="AA31" s="7" t="n">
        <v>3.5692</v>
      </c>
      <c r="AB31" s="7" t="n">
        <v>3.588</v>
      </c>
      <c r="AC31" s="7" t="n">
        <v>3.6046</v>
      </c>
      <c r="AD31" s="7" t="n">
        <v>3.6178</v>
      </c>
      <c r="AE31" s="7" t="n">
        <v>3.627</v>
      </c>
      <c r="AF31" s="7" t="n">
        <v>3.6316</v>
      </c>
      <c r="AG31" s="7" t="n">
        <v>3.6311</v>
      </c>
      <c r="AH31" s="7" t="n">
        <v>3.6258</v>
      </c>
      <c r="AI31" s="7" t="n">
        <v>3.6159</v>
      </c>
      <c r="AJ31" s="7" t="n">
        <v>3.602</v>
      </c>
      <c r="AK31" s="7" t="n">
        <v>3.585</v>
      </c>
      <c r="AL31" s="7" t="n">
        <v>3.5659</v>
      </c>
      <c r="AM31" s="7" t="n">
        <v>3.546</v>
      </c>
      <c r="AN31" s="7" t="n">
        <v>3.5264</v>
      </c>
      <c r="AO31" s="7" t="n">
        <v>3.5085</v>
      </c>
      <c r="AP31" s="7" t="n">
        <v>3.4932</v>
      </c>
      <c r="AQ31" s="7" t="n">
        <v>3.4816</v>
      </c>
      <c r="AR31" s="7" t="n">
        <v>3.4744</v>
      </c>
      <c r="AS31" s="7" t="n">
        <v>3.472</v>
      </c>
      <c r="AT31" s="7" t="n">
        <v>3.4746</v>
      </c>
      <c r="AU31" s="7" t="n">
        <v>3.482</v>
      </c>
      <c r="AV31" s="7" t="n">
        <v>3.4937</v>
      </c>
      <c r="AW31" s="7" t="n">
        <v>3.5091</v>
      </c>
      <c r="AX31" s="7" t="n">
        <v>3.5271</v>
      </c>
      <c r="AY31" s="7" t="n">
        <v>3.5467</v>
      </c>
      <c r="AZ31" s="7" t="n">
        <v>3.5666</v>
      </c>
      <c r="BA31" s="7" t="n">
        <v>3.5856</v>
      </c>
      <c r="BB31" s="7" t="n">
        <v>3.6025</v>
      </c>
      <c r="BC31" s="7">
        <f>AVERAGE(R31:BB31)</f>
        <v/>
      </c>
      <c r="BD31" s="7">
        <f>MAX(R31:BB31)-MIN(R31:BB31)</f>
        <v/>
      </c>
      <c r="BE31" s="14" t="n"/>
      <c r="BF31" s="14" t="n"/>
      <c r="BG31" s="14" t="n"/>
      <c r="BH31" s="14" t="n"/>
    </row>
    <row r="32">
      <c r="B32" s="7" t="n">
        <v>14</v>
      </c>
      <c r="C32" s="7" t="n">
        <v/>
      </c>
      <c r="D32" s="7" t="n">
        <v>3.6105</v>
      </c>
      <c r="E32" s="7" t="n">
        <v>3.6233</v>
      </c>
      <c r="F32" s="7" t="n">
        <v>3.6319</v>
      </c>
      <c r="G32" s="7" t="n">
        <v>3.6358</v>
      </c>
      <c r="H32" s="7" t="n">
        <v>3.6347</v>
      </c>
      <c r="I32" s="7" t="n">
        <v>3.6287</v>
      </c>
      <c r="J32" s="7" t="n">
        <v>3.6182</v>
      </c>
      <c r="K32" s="7" t="n">
        <v>3.6039</v>
      </c>
      <c r="L32" s="7" t="n">
        <v>3.5865</v>
      </c>
      <c r="M32" s="7" t="n">
        <v>3.5673</v>
      </c>
      <c r="N32" s="7" t="n">
        <v>3.5473</v>
      </c>
      <c r="O32" s="7" t="n">
        <v>3.5279</v>
      </c>
      <c r="P32" s="7" t="n">
        <v>3.5103</v>
      </c>
      <c r="Q32" s="7" t="n">
        <v>3.4955</v>
      </c>
      <c r="R32" s="7" t="n">
        <v>3.4844</v>
      </c>
      <c r="S32" s="7" t="n">
        <v>3.4778</v>
      </c>
      <c r="T32" s="7" t="n">
        <v>3.4761</v>
      </c>
      <c r="U32" s="7" t="n">
        <v>3.4793</v>
      </c>
      <c r="V32" s="7" t="n">
        <v>3.4873</v>
      </c>
      <c r="W32" s="7" t="n">
        <v>3.4996</v>
      </c>
      <c r="X32" s="7" t="n">
        <v>3.5153</v>
      </c>
      <c r="Y32" s="7" t="n">
        <v>3.5336</v>
      </c>
      <c r="Z32" s="7" t="n">
        <v>3.5533</v>
      </c>
      <c r="AA32" s="7" t="n">
        <v>3.5732</v>
      </c>
      <c r="AB32" s="7" t="n">
        <v>3.592</v>
      </c>
      <c r="AC32" s="7" t="n">
        <v>3.6086</v>
      </c>
      <c r="AD32" s="7" t="n">
        <v>3.6218</v>
      </c>
      <c r="AE32" s="7" t="n">
        <v>3.631</v>
      </c>
      <c r="AF32" s="7" t="n">
        <v>3.6356</v>
      </c>
      <c r="AG32" s="7" t="n">
        <v>3.6351</v>
      </c>
      <c r="AH32" s="7" t="n">
        <v>3.6298</v>
      </c>
      <c r="AI32" s="7" t="n">
        <v>3.6199</v>
      </c>
      <c r="AJ32" s="7" t="n">
        <v>3.606</v>
      </c>
      <c r="AK32" s="7" t="n">
        <v>3.589</v>
      </c>
      <c r="AL32" s="7" t="n">
        <v>3.5699</v>
      </c>
      <c r="AM32" s="7" t="n">
        <v>3.55</v>
      </c>
      <c r="AN32" s="7" t="n">
        <v>3.5304</v>
      </c>
      <c r="AO32" s="7" t="n">
        <v>3.5125</v>
      </c>
      <c r="AP32" s="7" t="n">
        <v>3.4972</v>
      </c>
      <c r="AQ32" s="7" t="n">
        <v>3.4856</v>
      </c>
      <c r="AR32" s="7" t="n">
        <v>3.4784</v>
      </c>
      <c r="AS32" s="7" t="n">
        <v>3.476</v>
      </c>
      <c r="AT32" s="7" t="n">
        <v>3.4786</v>
      </c>
      <c r="AU32" s="7" t="n">
        <v>3.486</v>
      </c>
      <c r="AV32" s="7" t="n">
        <v>3.4977</v>
      </c>
      <c r="AW32" s="7" t="n">
        <v>3.5131</v>
      </c>
      <c r="AX32" s="7" t="n">
        <v>3.5311</v>
      </c>
      <c r="AY32" s="7" t="n">
        <v>3.5507</v>
      </c>
      <c r="AZ32" s="7" t="n">
        <v>3.5706</v>
      </c>
      <c r="BA32" s="7" t="n">
        <v>3.5896</v>
      </c>
      <c r="BB32" s="7" t="n">
        <v>3.6065</v>
      </c>
      <c r="BC32" s="7">
        <f>AVERAGE(R32:BB32)</f>
        <v/>
      </c>
      <c r="BD32" s="7">
        <f>MAX(R32:BB32)-MIN(R32:BB32)</f>
        <v/>
      </c>
      <c r="BE32" s="14" t="n"/>
      <c r="BF32" s="14" t="n"/>
      <c r="BG32" s="14" t="n"/>
      <c r="BH32" s="14" t="n"/>
    </row>
    <row r="33">
      <c r="B33" s="7" t="n">
        <v>15</v>
      </c>
      <c r="C33" s="7" t="n">
        <v/>
      </c>
      <c r="D33" s="7" t="n">
        <v>3.6145</v>
      </c>
      <c r="E33" s="7" t="n">
        <v>3.6273</v>
      </c>
      <c r="F33" s="7" t="n">
        <v>3.6359</v>
      </c>
      <c r="G33" s="7" t="n">
        <v>3.6398</v>
      </c>
      <c r="H33" s="7" t="n">
        <v>3.6387</v>
      </c>
      <c r="I33" s="7" t="n">
        <v>3.6327</v>
      </c>
      <c r="J33" s="7" t="n">
        <v>3.6222</v>
      </c>
      <c r="K33" s="7" t="n">
        <v>3.6079</v>
      </c>
      <c r="L33" s="7" t="n">
        <v>3.5905</v>
      </c>
      <c r="M33" s="7" t="n">
        <v>3.5713</v>
      </c>
      <c r="N33" s="7" t="n">
        <v>3.5513</v>
      </c>
      <c r="O33" s="7" t="n">
        <v>3.5319</v>
      </c>
      <c r="P33" s="7" t="n">
        <v>3.5143</v>
      </c>
      <c r="Q33" s="7" t="n">
        <v>3.4995</v>
      </c>
      <c r="R33" s="7" t="n">
        <v>3.4884</v>
      </c>
      <c r="S33" s="7" t="n">
        <v>3.4818</v>
      </c>
      <c r="T33" s="7" t="n">
        <v>3.4801</v>
      </c>
      <c r="U33" s="7" t="n">
        <v>3.4833</v>
      </c>
      <c r="V33" s="7" t="n">
        <v>3.4913</v>
      </c>
      <c r="W33" s="7" t="n">
        <v>3.5036</v>
      </c>
      <c r="X33" s="7" t="n">
        <v>3.5193</v>
      </c>
      <c r="Y33" s="7" t="n">
        <v>3.5376</v>
      </c>
      <c r="Z33" s="7" t="n">
        <v>3.5573</v>
      </c>
      <c r="AA33" s="7" t="n">
        <v>3.5772</v>
      </c>
      <c r="AB33" s="7" t="n">
        <v>3.596</v>
      </c>
      <c r="AC33" s="7" t="n">
        <v>3.6126</v>
      </c>
      <c r="AD33" s="7" t="n">
        <v>3.6258</v>
      </c>
      <c r="AE33" s="7" t="n">
        <v>3.635</v>
      </c>
      <c r="AF33" s="7" t="n">
        <v>3.6396</v>
      </c>
      <c r="AG33" s="7" t="n">
        <v>3.6391</v>
      </c>
      <c r="AH33" s="7" t="n">
        <v>3.6338</v>
      </c>
      <c r="AI33" s="7" t="n">
        <v>3.6239</v>
      </c>
      <c r="AJ33" s="7" t="n">
        <v>3.61</v>
      </c>
      <c r="AK33" s="7" t="n">
        <v>3.593</v>
      </c>
      <c r="AL33" s="7" t="n">
        <v>3.5739</v>
      </c>
      <c r="AM33" s="7" t="n">
        <v>3.554</v>
      </c>
      <c r="AN33" s="7" t="n">
        <v>3.5344</v>
      </c>
      <c r="AO33" s="7" t="n">
        <v>3.5165</v>
      </c>
      <c r="AP33" s="7" t="n">
        <v>3.5012</v>
      </c>
      <c r="AQ33" s="7" t="n">
        <v>3.4896</v>
      </c>
      <c r="AR33" s="7" t="n">
        <v>3.4824</v>
      </c>
      <c r="AS33" s="7" t="n">
        <v>3.48</v>
      </c>
      <c r="AT33" s="7" t="n">
        <v>3.4826</v>
      </c>
      <c r="AU33" s="7" t="n">
        <v>3.49</v>
      </c>
      <c r="AV33" s="7" t="n">
        <v>3.5017</v>
      </c>
      <c r="AW33" s="7" t="n">
        <v>3.5171</v>
      </c>
      <c r="AX33" s="7" t="n">
        <v>3.5351</v>
      </c>
      <c r="AY33" s="7" t="n">
        <v>3.5547</v>
      </c>
      <c r="AZ33" s="7" t="n">
        <v>3.5746</v>
      </c>
      <c r="BA33" s="7" t="n">
        <v>3.5936</v>
      </c>
      <c r="BB33" s="7" t="n">
        <v>3.6105</v>
      </c>
      <c r="BC33" s="7">
        <f>AVERAGE(R33:BB33)</f>
        <v/>
      </c>
      <c r="BD33" s="7">
        <f>MAX(R33:BB33)-MIN(R33:BB33)</f>
        <v/>
      </c>
      <c r="BE33" s="14" t="n"/>
      <c r="BF33" s="14" t="n"/>
      <c r="BG33" s="14" t="n"/>
      <c r="BH33" s="14" t="n"/>
    </row>
    <row r="34">
      <c r="BB34" s="8" t="inlineStr">
        <is>
          <t>Run Average</t>
        </is>
      </c>
      <c r="BC34" s="7">
        <f>AVERAGE(BC29:BC33)</f>
        <v/>
      </c>
      <c r="BE34" s="14" t="n"/>
      <c r="BF34" s="14" t="n"/>
      <c r="BG34" s="14" t="n"/>
      <c r="BH34" s="14" t="n"/>
    </row>
  </sheetData>
  <mergeCells count="11">
    <mergeCell ref="BF7:BH7"/>
    <mergeCell ref="B3:BD3"/>
    <mergeCell ref="B14:BD14"/>
    <mergeCell ref="C15:C17"/>
    <mergeCell ref="B4:B6"/>
    <mergeCell ref="B26:B28"/>
    <mergeCell ref="B15:B17"/>
    <mergeCell ref="B25:BD25"/>
    <mergeCell ref="BF3:BH3"/>
    <mergeCell ref="C4:C6"/>
    <mergeCell ref="C26:C28"/>
  </mergeCells>
  <conditionalFormatting sqref="BC7:BC11">
    <cfRule type="expression" priority="1" dxfId="0" stopIfTrue="1">
      <formula>=AND(ISNUMBER($BC7),$BC7&gt;=$BF$5,$BC7&lt;=$BH$5)</formula>
    </cfRule>
    <cfRule type="expression" priority="2" dxfId="1" stopIfTrue="1">
      <formula>=AND(ISNUMBER($BC7),OR($BC7&lt;$BF$5,$BC7&gt;$BH$5))</formula>
    </cfRule>
  </conditionalFormatting>
  <conditionalFormatting sqref="BD7:BD11">
    <cfRule type="expression" priority="3" dxfId="0" stopIfTrue="1">
      <formula>=AND(ISNUMBER($BD7),$BD7&lt;=$BF$9)</formula>
    </cfRule>
    <cfRule type="expression" priority="4" dxfId="1" stopIfTrue="1">
      <formula>=AND(ISNUMBER($BD7),$BD7&gt;$BF$9)</formula>
    </cfRule>
  </conditionalFormatting>
  <conditionalFormatting sqref="BC12">
    <cfRule type="expression" priority="5" dxfId="0" stopIfTrue="1">
      <formula>=AND(ISNUMBER($BC12),$BC12&gt;=$BF$5,$BC12&lt;=$BH$5)</formula>
    </cfRule>
    <cfRule type="expression" priority="6" dxfId="1" stopIfTrue="1">
      <formula>=AND(ISNUMBER($BC12),OR($BC12&lt;$BF$5,$BC12&gt;$BH$5))</formula>
    </cfRule>
  </conditionalFormatting>
  <conditionalFormatting sqref="BC18:BC22">
    <cfRule type="expression" priority="7" dxfId="0" stopIfTrue="1">
      <formula>=AND(ISNUMBER($BC18),$BC18&gt;=$BF$5,$BC18&lt;=$BH$5)</formula>
    </cfRule>
    <cfRule type="expression" priority="8" dxfId="1" stopIfTrue="1">
      <formula>=AND(ISNUMBER($BC18),OR($BC18&lt;$BF$5,$BC18&gt;$BH$5))</formula>
    </cfRule>
  </conditionalFormatting>
  <conditionalFormatting sqref="BD18:BD22">
    <cfRule type="expression" priority="9" dxfId="0" stopIfTrue="1">
      <formula>=AND(ISNUMBER($BD18),$BD18&lt;=$BF$9)</formula>
    </cfRule>
    <cfRule type="expression" priority="10" dxfId="1" stopIfTrue="1">
      <formula>=AND(ISNUMBER($BD18),$BD18&gt;$BF$9)</formula>
    </cfRule>
  </conditionalFormatting>
  <conditionalFormatting sqref="BC23">
    <cfRule type="expression" priority="11" dxfId="0" stopIfTrue="1">
      <formula>=AND(ISNUMBER($BC23),$BC23&gt;=$BF$5,$BC23&lt;=$BH$5)</formula>
    </cfRule>
    <cfRule type="expression" priority="12" dxfId="1" stopIfTrue="1">
      <formula>=AND(ISNUMBER($BC23),OR($BC23&lt;$BF$5,$BC23&gt;$BH$5))</formula>
    </cfRule>
  </conditionalFormatting>
  <conditionalFormatting sqref="BC29:BC33">
    <cfRule type="expression" priority="13" dxfId="0" stopIfTrue="1">
      <formula>=AND(ISNUMBER($BC29),$BC29&gt;=$BF$5,$BC29&lt;=$BH$5)</formula>
    </cfRule>
    <cfRule type="expression" priority="14" dxfId="1" stopIfTrue="1">
      <formula>=AND(ISNUMBER($BC29),OR($BC29&lt;$BF$5,$BC29&gt;$BH$5))</formula>
    </cfRule>
  </conditionalFormatting>
  <conditionalFormatting sqref="BD29:BD33">
    <cfRule type="expression" priority="15" dxfId="0" stopIfTrue="1">
      <formula>=AND(ISNUMBER($BD29),$BD29&lt;=$BF$9)</formula>
    </cfRule>
    <cfRule type="expression" priority="16" dxfId="1" stopIfTrue="1">
      <formula>=AND(ISNUMBER($BD29),$BD29&gt;$BF$9)</formula>
    </cfRule>
  </conditionalFormatting>
  <conditionalFormatting sqref="BC34">
    <cfRule type="expression" priority="17" dxfId="0" stopIfTrue="1">
      <formula>=AND(ISNUMBER($BC34),$BC34&gt;=$BF$5,$BC34&lt;=$BH$5)</formula>
    </cfRule>
    <cfRule type="expression" priority="18" dxfId="1" stopIfTrue="1">
      <formula>=AND(ISNUMBER($BC34),OR($BC34&lt;$BF$5,$BC34&gt;$BH$5))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4"/>
  <sheetViews>
    <sheetView workbookViewId="0">
      <selection activeCell="A1" sqref="A1"/>
    </sheetView>
  </sheetViews>
  <sheetFormatPr baseColWidth="8" defaultRowHeight="15"/>
  <cols>
    <col width="2" customWidth="1" min="1" max="1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0" customWidth="1" min="59" max="59"/>
    <col width="10" customWidth="1" min="60" max="60"/>
    <col width="10" customWidth="1" min="61" max="61"/>
  </cols>
  <sheetData>
    <row r="1">
      <c r="BF1" s="14" t="n"/>
      <c r="BG1" s="14" t="n"/>
      <c r="BH1" s="14" t="n"/>
      <c r="BI1" s="14" t="n"/>
    </row>
    <row r="2">
      <c r="BF2" s="14" t="n"/>
      <c r="BG2" s="14" t="n"/>
      <c r="BH2" s="14" t="n"/>
      <c r="BI2" s="14" t="n"/>
    </row>
    <row r="3">
      <c r="B3" s="15" t="inlineStr">
        <is>
          <t>V3102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4" t="n"/>
      <c r="BG3" s="2" t="inlineStr">
        <is>
          <t>SPEC (%)</t>
        </is>
      </c>
      <c r="BH3" s="4" t="n"/>
      <c r="BI3" s="5" t="n"/>
    </row>
    <row r="4">
      <c r="B4" s="6" t="inlineStr">
        <is>
          <t>Measurement</t>
        </is>
      </c>
      <c r="C4" s="6" t="inlineStr">
        <is>
          <t>Measurement</t>
        </is>
      </c>
      <c r="D4" s="6" t="inlineStr">
        <is>
          <t>Measurement</t>
        </is>
      </c>
      <c r="E4" s="6" t="inlineStr">
        <is>
          <t>Measurement</t>
        </is>
      </c>
      <c r="F4" s="6" t="inlineStr">
        <is>
          <t>Measurement</t>
        </is>
      </c>
      <c r="G4" s="6" t="inlineStr">
        <is>
          <t>Measurement</t>
        </is>
      </c>
      <c r="H4" s="6" t="inlineStr">
        <is>
          <t>Measurement</t>
        </is>
      </c>
      <c r="I4" s="6" t="inlineStr">
        <is>
          <t>Measurement</t>
        </is>
      </c>
      <c r="J4" s="6" t="inlineStr">
        <is>
          <t>Measurement</t>
        </is>
      </c>
      <c r="K4" s="6" t="inlineStr">
        <is>
          <t>Measurement</t>
        </is>
      </c>
      <c r="L4" s="6" t="inlineStr">
        <is>
          <t>Measurement</t>
        </is>
      </c>
      <c r="M4" s="6" t="inlineStr">
        <is>
          <t>Measurement</t>
        </is>
      </c>
      <c r="N4" s="6" t="inlineStr">
        <is>
          <t>Measurement</t>
        </is>
      </c>
      <c r="O4" s="6" t="inlineStr">
        <is>
          <t>Measurement</t>
        </is>
      </c>
      <c r="P4" s="6" t="inlineStr">
        <is>
          <t>Measurement</t>
        </is>
      </c>
      <c r="Q4" s="6" t="inlineStr">
        <is>
          <t>Measurement</t>
        </is>
      </c>
      <c r="R4" s="6" t="inlineStr">
        <is>
          <t>Measurement</t>
        </is>
      </c>
      <c r="S4" s="6" t="inlineStr">
        <is>
          <t>Measurement</t>
        </is>
      </c>
      <c r="T4" s="6" t="inlineStr">
        <is>
          <t>Measurement</t>
        </is>
      </c>
      <c r="U4" s="6" t="inlineStr">
        <is>
          <t>Measurement</t>
        </is>
      </c>
      <c r="V4" s="6" t="inlineStr">
        <is>
          <t>Measurement</t>
        </is>
      </c>
      <c r="W4" s="6" t="inlineStr">
        <is>
          <t>Measurement</t>
        </is>
      </c>
      <c r="X4" s="6" t="inlineStr">
        <is>
          <t>Measurement</t>
        </is>
      </c>
      <c r="Y4" s="6" t="inlineStr">
        <is>
          <t>Measurement</t>
        </is>
      </c>
      <c r="Z4" s="6" t="inlineStr">
        <is>
          <t>Measurement</t>
        </is>
      </c>
      <c r="AA4" s="6" t="inlineStr">
        <is>
          <t>Measurement</t>
        </is>
      </c>
      <c r="AB4" s="6" t="inlineStr">
        <is>
          <t>Measurement</t>
        </is>
      </c>
      <c r="AC4" s="6" t="inlineStr">
        <is>
          <t>Measurement</t>
        </is>
      </c>
      <c r="AD4" s="6" t="inlineStr">
        <is>
          <t>Measurement</t>
        </is>
      </c>
      <c r="AE4" s="6" t="inlineStr">
        <is>
          <t>Measurement</t>
        </is>
      </c>
      <c r="AF4" s="6" t="inlineStr">
        <is>
          <t>Measurement</t>
        </is>
      </c>
      <c r="AG4" s="6" t="inlineStr">
        <is>
          <t>Measurement</t>
        </is>
      </c>
      <c r="AH4" s="6" t="inlineStr">
        <is>
          <t>Measurement</t>
        </is>
      </c>
      <c r="AI4" s="6" t="inlineStr">
        <is>
          <t>Measurement</t>
        </is>
      </c>
      <c r="AJ4" s="6" t="inlineStr">
        <is>
          <t>Measurement</t>
        </is>
      </c>
      <c r="AK4" s="6" t="inlineStr">
        <is>
          <t>Measurement</t>
        </is>
      </c>
      <c r="AL4" s="6" t="inlineStr">
        <is>
          <t>Measurement</t>
        </is>
      </c>
      <c r="AM4" s="6" t="inlineStr">
        <is>
          <t>Measurement</t>
        </is>
      </c>
      <c r="AN4" s="6" t="inlineStr">
        <is>
          <t>Measurement</t>
        </is>
      </c>
      <c r="AO4" s="6" t="inlineStr">
        <is>
          <t>Measurement</t>
        </is>
      </c>
      <c r="AP4" s="6" t="inlineStr">
        <is>
          <t>Measurement</t>
        </is>
      </c>
      <c r="AQ4" s="6" t="inlineStr">
        <is>
          <t>Measurement</t>
        </is>
      </c>
      <c r="AR4" s="6" t="inlineStr">
        <is>
          <t>Measurement</t>
        </is>
      </c>
      <c r="AS4" s="6" t="inlineStr">
        <is>
          <t>Measurement</t>
        </is>
      </c>
      <c r="AT4" s="6" t="inlineStr">
        <is>
          <t>Measurement</t>
        </is>
      </c>
      <c r="AU4" s="6" t="inlineStr">
        <is>
          <t>Measurement</t>
        </is>
      </c>
      <c r="AV4" s="6" t="inlineStr">
        <is>
          <t>Measurement</t>
        </is>
      </c>
      <c r="AW4" s="6" t="inlineStr">
        <is>
          <t>Measurement</t>
        </is>
      </c>
      <c r="AX4" s="6" t="inlineStr">
        <is>
          <t>Measurement</t>
        </is>
      </c>
      <c r="AY4" s="6" t="inlineStr">
        <is>
          <t>Measurement</t>
        </is>
      </c>
      <c r="AZ4" s="6" t="inlineStr">
        <is>
          <t>Measurement</t>
        </is>
      </c>
      <c r="BA4" s="6" t="inlineStr">
        <is>
          <t>Measurement</t>
        </is>
      </c>
      <c r="BB4" s="6" t="inlineStr">
        <is>
          <t>Measurement</t>
        </is>
      </c>
      <c r="BC4" s="6" t="inlineStr">
        <is>
          <t>Measurement</t>
        </is>
      </c>
      <c r="BD4" s="6" t="inlineStr"/>
      <c r="BE4" s="6" t="inlineStr"/>
      <c r="BF4" s="14" t="n"/>
      <c r="BG4" s="6" t="inlineStr">
        <is>
          <t>Min</t>
        </is>
      </c>
      <c r="BH4" s="6" t="inlineStr">
        <is>
          <t>Target</t>
        </is>
      </c>
      <c r="BI4" s="6" t="inlineStr">
        <is>
          <t>Max</t>
        </is>
      </c>
    </row>
    <row r="5">
      <c r="B5" s="9" t="n"/>
      <c r="C5" s="9" t="n"/>
      <c r="D5" s="6" t="inlineStr">
        <is>
          <t>Site 3</t>
        </is>
      </c>
      <c r="E5" s="6" t="inlineStr">
        <is>
          <t>Site 4</t>
        </is>
      </c>
      <c r="F5" s="6" t="inlineStr">
        <is>
          <t>Site 5</t>
        </is>
      </c>
      <c r="G5" s="6" t="inlineStr">
        <is>
          <t>Site 6</t>
        </is>
      </c>
      <c r="H5" s="6" t="inlineStr">
        <is>
          <t>Site 7</t>
        </is>
      </c>
      <c r="I5" s="6" t="inlineStr">
        <is>
          <t>Site 8</t>
        </is>
      </c>
      <c r="J5" s="6" t="inlineStr">
        <is>
          <t>Site 9</t>
        </is>
      </c>
      <c r="K5" s="6" t="inlineStr">
        <is>
          <t>Site 10</t>
        </is>
      </c>
      <c r="L5" s="6" t="inlineStr">
        <is>
          <t>Site 11</t>
        </is>
      </c>
      <c r="M5" s="6" t="inlineStr">
        <is>
          <t>Site 12</t>
        </is>
      </c>
      <c r="N5" s="6" t="inlineStr">
        <is>
          <t>Site 13</t>
        </is>
      </c>
      <c r="O5" s="6" t="inlineStr">
        <is>
          <t>Site 14</t>
        </is>
      </c>
      <c r="P5" s="6" t="inlineStr">
        <is>
          <t>Site 15</t>
        </is>
      </c>
      <c r="Q5" s="6" t="inlineStr">
        <is>
          <t>Site 16</t>
        </is>
      </c>
      <c r="R5" s="6" t="inlineStr">
        <is>
          <t>Site 17</t>
        </is>
      </c>
      <c r="S5" s="6" t="inlineStr">
        <is>
          <t>Site 18</t>
        </is>
      </c>
      <c r="T5" s="6" t="inlineStr">
        <is>
          <t>Site 19</t>
        </is>
      </c>
      <c r="U5" s="6" t="inlineStr">
        <is>
          <t>Site 20</t>
        </is>
      </c>
      <c r="V5" s="6" t="inlineStr">
        <is>
          <t>Site 21</t>
        </is>
      </c>
      <c r="W5" s="6" t="inlineStr">
        <is>
          <t>Site 22</t>
        </is>
      </c>
      <c r="X5" s="6" t="inlineStr">
        <is>
          <t>Site 23</t>
        </is>
      </c>
      <c r="Y5" s="6" t="inlineStr">
        <is>
          <t>Site 24</t>
        </is>
      </c>
      <c r="Z5" s="6" t="inlineStr">
        <is>
          <t>Site 25</t>
        </is>
      </c>
      <c r="AA5" s="6" t="inlineStr">
        <is>
          <t>Site 26</t>
        </is>
      </c>
      <c r="AB5" s="6" t="inlineStr">
        <is>
          <t>Site 27</t>
        </is>
      </c>
      <c r="AC5" s="6" t="inlineStr">
        <is>
          <t>Site 28</t>
        </is>
      </c>
      <c r="AD5" s="6" t="inlineStr">
        <is>
          <t>Site 29</t>
        </is>
      </c>
      <c r="AE5" s="6" t="inlineStr">
        <is>
          <t>Site 30</t>
        </is>
      </c>
      <c r="AF5" s="6" t="inlineStr">
        <is>
          <t>Site 31</t>
        </is>
      </c>
      <c r="AG5" s="6" t="inlineStr">
        <is>
          <t>Site 32</t>
        </is>
      </c>
      <c r="AH5" s="6" t="inlineStr">
        <is>
          <t>Site 33</t>
        </is>
      </c>
      <c r="AI5" s="6" t="inlineStr">
        <is>
          <t>Site 34</t>
        </is>
      </c>
      <c r="AJ5" s="6" t="inlineStr">
        <is>
          <t>Site 35</t>
        </is>
      </c>
      <c r="AK5" s="6" t="inlineStr">
        <is>
          <t>Site 36</t>
        </is>
      </c>
      <c r="AL5" s="6" t="inlineStr">
        <is>
          <t>Site 37</t>
        </is>
      </c>
      <c r="AM5" s="6" t="inlineStr">
        <is>
          <t>Site 38</t>
        </is>
      </c>
      <c r="AN5" s="6" t="inlineStr">
        <is>
          <t>Site 39</t>
        </is>
      </c>
      <c r="AO5" s="6" t="inlineStr">
        <is>
          <t>Site 40</t>
        </is>
      </c>
      <c r="AP5" s="6" t="inlineStr">
        <is>
          <t>Site 41</t>
        </is>
      </c>
      <c r="AQ5" s="6" t="inlineStr">
        <is>
          <t>Site 42</t>
        </is>
      </c>
      <c r="AR5" s="6" t="inlineStr">
        <is>
          <t>Site 43</t>
        </is>
      </c>
      <c r="AS5" s="6" t="inlineStr">
        <is>
          <t>Site 44</t>
        </is>
      </c>
      <c r="AT5" s="6" t="inlineStr">
        <is>
          <t>Site 45</t>
        </is>
      </c>
      <c r="AU5" s="6" t="inlineStr">
        <is>
          <t>Site 46</t>
        </is>
      </c>
      <c r="AV5" s="6" t="inlineStr">
        <is>
          <t>Site 47</t>
        </is>
      </c>
      <c r="AW5" s="6" t="inlineStr">
        <is>
          <t>Site 48</t>
        </is>
      </c>
      <c r="AX5" s="6" t="inlineStr">
        <is>
          <t>Site 49</t>
        </is>
      </c>
      <c r="AY5" s="6" t="inlineStr">
        <is>
          <t>Site 50</t>
        </is>
      </c>
      <c r="AZ5" s="6" t="inlineStr">
        <is>
          <t>Site 51</t>
        </is>
      </c>
      <c r="BA5" s="6" t="inlineStr">
        <is>
          <t>Site 52</t>
        </is>
      </c>
      <c r="BB5" s="6" t="inlineStr">
        <is>
          <t>Site 53</t>
        </is>
      </c>
      <c r="BC5" s="6" t="inlineStr">
        <is>
          <t>Site 54</t>
        </is>
      </c>
      <c r="BD5" s="6" t="inlineStr"/>
      <c r="BE5" s="6" t="inlineStr"/>
      <c r="BF5" s="14" t="n"/>
      <c r="BG5" s="17" t="n">
        <v>15.77</v>
      </c>
      <c r="BH5" s="17" t="n">
        <v>21.91</v>
      </c>
      <c r="BI5" s="17" t="n">
        <v>28.05</v>
      </c>
    </row>
    <row r="6">
      <c r="B6" s="10" t="n"/>
      <c r="C6" s="10" t="n"/>
      <c r="D6" s="6" t="inlineStr">
        <is>
          <t>%</t>
        </is>
      </c>
      <c r="E6" s="6" t="inlineStr">
        <is>
          <t>%</t>
        </is>
      </c>
      <c r="F6" s="6" t="inlineStr">
        <is>
          <t>%</t>
        </is>
      </c>
      <c r="G6" s="6" t="inlineStr">
        <is>
          <t>%</t>
        </is>
      </c>
      <c r="H6" s="6" t="inlineStr">
        <is>
          <t>%</t>
        </is>
      </c>
      <c r="I6" s="6" t="inlineStr">
        <is>
          <t>%</t>
        </is>
      </c>
      <c r="J6" s="6" t="inlineStr">
        <is>
          <t>%</t>
        </is>
      </c>
      <c r="K6" s="6" t="inlineStr">
        <is>
          <t>%</t>
        </is>
      </c>
      <c r="L6" s="6" t="inlineStr">
        <is>
          <t>%</t>
        </is>
      </c>
      <c r="M6" s="6" t="inlineStr">
        <is>
          <t>%</t>
        </is>
      </c>
      <c r="N6" s="6" t="inlineStr">
        <is>
          <t>%</t>
        </is>
      </c>
      <c r="O6" s="6" t="inlineStr">
        <is>
          <t>%</t>
        </is>
      </c>
      <c r="P6" s="6" t="inlineStr">
        <is>
          <t>%</t>
        </is>
      </c>
      <c r="Q6" s="6" t="inlineStr">
        <is>
          <t>%</t>
        </is>
      </c>
      <c r="R6" s="6" t="inlineStr">
        <is>
          <t>%</t>
        </is>
      </c>
      <c r="S6" s="6" t="inlineStr">
        <is>
          <t>%</t>
        </is>
      </c>
      <c r="T6" s="6" t="inlineStr">
        <is>
          <t>%</t>
        </is>
      </c>
      <c r="U6" s="6" t="inlineStr">
        <is>
          <t>%</t>
        </is>
      </c>
      <c r="V6" s="6" t="inlineStr">
        <is>
          <t>%</t>
        </is>
      </c>
      <c r="W6" s="6" t="inlineStr">
        <is>
          <t>%</t>
        </is>
      </c>
      <c r="X6" s="6" t="inlineStr">
        <is>
          <t>%</t>
        </is>
      </c>
      <c r="Y6" s="6" t="inlineStr">
        <is>
          <t>%</t>
        </is>
      </c>
      <c r="Z6" s="6" t="inlineStr">
        <is>
          <t>%</t>
        </is>
      </c>
      <c r="AA6" s="6" t="inlineStr">
        <is>
          <t>%</t>
        </is>
      </c>
      <c r="AB6" s="6" t="inlineStr">
        <is>
          <t>%</t>
        </is>
      </c>
      <c r="AC6" s="6" t="inlineStr">
        <is>
          <t>%</t>
        </is>
      </c>
      <c r="AD6" s="6" t="inlineStr">
        <is>
          <t>%</t>
        </is>
      </c>
      <c r="AE6" s="6" t="inlineStr">
        <is>
          <t>%</t>
        </is>
      </c>
      <c r="AF6" s="6" t="inlineStr">
        <is>
          <t>%</t>
        </is>
      </c>
      <c r="AG6" s="6" t="inlineStr">
        <is>
          <t>%</t>
        </is>
      </c>
      <c r="AH6" s="6" t="inlineStr">
        <is>
          <t>%</t>
        </is>
      </c>
      <c r="AI6" s="6" t="inlineStr">
        <is>
          <t>%</t>
        </is>
      </c>
      <c r="AJ6" s="6" t="inlineStr">
        <is>
          <t>%</t>
        </is>
      </c>
      <c r="AK6" s="6" t="inlineStr">
        <is>
          <t>%</t>
        </is>
      </c>
      <c r="AL6" s="6" t="inlineStr">
        <is>
          <t>%</t>
        </is>
      </c>
      <c r="AM6" s="6" t="inlineStr">
        <is>
          <t>%</t>
        </is>
      </c>
      <c r="AN6" s="6" t="inlineStr">
        <is>
          <t>%</t>
        </is>
      </c>
      <c r="AO6" s="6" t="inlineStr">
        <is>
          <t>%</t>
        </is>
      </c>
      <c r="AP6" s="6" t="inlineStr">
        <is>
          <t>%</t>
        </is>
      </c>
      <c r="AQ6" s="6" t="inlineStr">
        <is>
          <t>%</t>
        </is>
      </c>
      <c r="AR6" s="6" t="inlineStr">
        <is>
          <t>%</t>
        </is>
      </c>
      <c r="AS6" s="6" t="inlineStr">
        <is>
          <t>%</t>
        </is>
      </c>
      <c r="AT6" s="6" t="inlineStr">
        <is>
          <t>%</t>
        </is>
      </c>
      <c r="AU6" s="6" t="inlineStr">
        <is>
          <t>%</t>
        </is>
      </c>
      <c r="AV6" s="6" t="inlineStr">
        <is>
          <t>%</t>
        </is>
      </c>
      <c r="AW6" s="6" t="inlineStr">
        <is>
          <t>%</t>
        </is>
      </c>
      <c r="AX6" s="6" t="inlineStr">
        <is>
          <t>%</t>
        </is>
      </c>
      <c r="AY6" s="6" t="inlineStr">
        <is>
          <t>%</t>
        </is>
      </c>
      <c r="AZ6" s="6" t="inlineStr">
        <is>
          <t>%</t>
        </is>
      </c>
      <c r="BA6" s="6" t="inlineStr">
        <is>
          <t>%</t>
        </is>
      </c>
      <c r="BB6" s="6" t="inlineStr">
        <is>
          <t>%</t>
        </is>
      </c>
      <c r="BC6" s="6" t="inlineStr">
        <is>
          <t>%</t>
        </is>
      </c>
      <c r="BD6" s="6" t="inlineStr">
        <is>
          <t>Wafer Average</t>
        </is>
      </c>
      <c r="BE6" s="6" t="inlineStr">
        <is>
          <t>Wafer Uniformity</t>
        </is>
      </c>
      <c r="BF6" s="14" t="n"/>
      <c r="BG6" s="14" t="n"/>
      <c r="BH6" s="14" t="n"/>
      <c r="BI6" s="14" t="n"/>
    </row>
    <row r="7">
      <c r="B7" s="7" t="n">
        <v>1</v>
      </c>
      <c r="C7" s="7" t="n">
        <v/>
      </c>
      <c r="D7" s="7" t="n">
        <v>24.5585</v>
      </c>
      <c r="E7" s="7" t="n">
        <v>24.5713</v>
      </c>
      <c r="F7" s="7" t="n">
        <v>24.5799</v>
      </c>
      <c r="G7" s="7" t="n">
        <v>24.5838</v>
      </c>
      <c r="H7" s="7" t="n">
        <v>24.5827</v>
      </c>
      <c r="I7" s="7" t="n">
        <v>24.5767</v>
      </c>
      <c r="J7" s="7" t="n">
        <v>24.5662</v>
      </c>
      <c r="K7" s="7" t="n">
        <v>24.5519</v>
      </c>
      <c r="L7" s="7" t="n">
        <v>24.5345</v>
      </c>
      <c r="M7" s="7" t="n">
        <v>24.5153</v>
      </c>
      <c r="N7" s="7" t="n">
        <v>24.4953</v>
      </c>
      <c r="O7" s="7" t="n">
        <v>24.4759</v>
      </c>
      <c r="P7" s="7" t="n">
        <v>24.4583</v>
      </c>
      <c r="Q7" s="7" t="n">
        <v>24.4435</v>
      </c>
      <c r="R7" s="7" t="n">
        <v>24.4324</v>
      </c>
      <c r="S7" s="7" t="n">
        <v>24.4258</v>
      </c>
      <c r="T7" s="7" t="n">
        <v>24.4241</v>
      </c>
      <c r="U7" s="7" t="n">
        <v>24.4273</v>
      </c>
      <c r="V7" s="7" t="n">
        <v>24.4353</v>
      </c>
      <c r="W7" s="7" t="n">
        <v>24.4476</v>
      </c>
      <c r="X7" s="7" t="n">
        <v>24.4633</v>
      </c>
      <c r="Y7" s="7" t="n">
        <v>24.4816</v>
      </c>
      <c r="Z7" s="7" t="n">
        <v>24.5013</v>
      </c>
      <c r="AA7" s="7" t="n">
        <v>24.5212</v>
      </c>
      <c r="AB7" s="7" t="n">
        <v>24.54</v>
      </c>
      <c r="AC7" s="7" t="n">
        <v>24.5566</v>
      </c>
      <c r="AD7" s="7" t="n">
        <v>24.5698</v>
      </c>
      <c r="AE7" s="7" t="n">
        <v>24.579</v>
      </c>
      <c r="AF7" s="7" t="n">
        <v>24.5836</v>
      </c>
      <c r="AG7" s="7" t="n">
        <v>24.5831</v>
      </c>
      <c r="AH7" s="7" t="n">
        <v>24.5778</v>
      </c>
      <c r="AI7" s="7" t="n">
        <v>24.5679</v>
      </c>
      <c r="AJ7" s="7" t="n">
        <v>24.554</v>
      </c>
      <c r="AK7" s="7" t="n">
        <v>24.537</v>
      </c>
      <c r="AL7" s="7" t="n">
        <v>24.5179</v>
      </c>
      <c r="AM7" s="7" t="n">
        <v>24.498</v>
      </c>
      <c r="AN7" s="7" t="n">
        <v>24.4784</v>
      </c>
      <c r="AO7" s="7" t="n">
        <v>24.4605</v>
      </c>
      <c r="AP7" s="7" t="n">
        <v>24.4452</v>
      </c>
      <c r="AQ7" s="7" t="n">
        <v>24.4336</v>
      </c>
      <c r="AR7" s="7" t="n">
        <v>24.4264</v>
      </c>
      <c r="AS7" s="7" t="n">
        <v>24.424</v>
      </c>
      <c r="AT7" s="7" t="n">
        <v>24.4266</v>
      </c>
      <c r="AU7" s="7" t="n">
        <v>24.434</v>
      </c>
      <c r="AV7" s="7" t="n">
        <v>24.4457</v>
      </c>
      <c r="AW7" s="7" t="n">
        <v>24.4611</v>
      </c>
      <c r="AX7" s="7" t="n">
        <v>24.4791</v>
      </c>
      <c r="AY7" s="7" t="n">
        <v>24.4987</v>
      </c>
      <c r="AZ7" s="7" t="n">
        <v>24.5186</v>
      </c>
      <c r="BA7" s="7" t="n">
        <v>24.5376</v>
      </c>
      <c r="BB7" s="7" t="n">
        <v>24.5545</v>
      </c>
      <c r="BC7" s="7" t="n">
        <v>24.5683</v>
      </c>
      <c r="BD7" s="7">
        <f>AVERAGE(S7:BC7)</f>
        <v/>
      </c>
      <c r="BE7" s="7">
        <f>MAX(S7:BC7)-MIN(S7:BC7)</f>
        <v/>
      </c>
      <c r="BF7" s="14" t="n"/>
      <c r="BG7" s="2" t="inlineStr">
        <is>
          <t>Uniformity SPEC</t>
        </is>
      </c>
      <c r="BH7" s="4" t="n"/>
      <c r="BI7" s="5" t="n"/>
    </row>
    <row r="8">
      <c r="B8" s="7" t="n">
        <v>2</v>
      </c>
      <c r="C8" s="7" t="n">
        <v/>
      </c>
      <c r="D8" s="7" t="n">
        <v>24.5625</v>
      </c>
      <c r="E8" s="7" t="n">
        <v>24.5753</v>
      </c>
      <c r="F8" s="7" t="n">
        <v>24.5839</v>
      </c>
      <c r="G8" s="7" t="n">
        <v>24.5878</v>
      </c>
      <c r="H8" s="7" t="n">
        <v>24.5867</v>
      </c>
      <c r="I8" s="7" t="n">
        <v>24.5807</v>
      </c>
      <c r="J8" s="7" t="n">
        <v>24.5702</v>
      </c>
      <c r="K8" s="7" t="n">
        <v>24.5559</v>
      </c>
      <c r="L8" s="7" t="n">
        <v>24.5385</v>
      </c>
      <c r="M8" s="7" t="n">
        <v>24.5193</v>
      </c>
      <c r="N8" s="7" t="n">
        <v>24.4993</v>
      </c>
      <c r="O8" s="7" t="n">
        <v>24.4799</v>
      </c>
      <c r="P8" s="7" t="n">
        <v>24.4623</v>
      </c>
      <c r="Q8" s="7" t="n">
        <v>24.4475</v>
      </c>
      <c r="R8" s="7" t="n">
        <v>24.4364</v>
      </c>
      <c r="S8" s="7" t="n">
        <v>24.4298</v>
      </c>
      <c r="T8" s="7" t="n">
        <v>24.4281</v>
      </c>
      <c r="U8" s="7" t="n">
        <v>24.4313</v>
      </c>
      <c r="V8" s="7" t="n">
        <v>24.4393</v>
      </c>
      <c r="W8" s="7" t="n">
        <v>24.4516</v>
      </c>
      <c r="X8" s="7" t="n">
        <v>24.4673</v>
      </c>
      <c r="Y8" s="7" t="n">
        <v>24.4856</v>
      </c>
      <c r="Z8" s="7" t="n">
        <v>24.5053</v>
      </c>
      <c r="AA8" s="7" t="n">
        <v>24.5252</v>
      </c>
      <c r="AB8" s="7" t="n">
        <v>24.544</v>
      </c>
      <c r="AC8" s="7" t="n">
        <v>24.5606</v>
      </c>
      <c r="AD8" s="7" t="n">
        <v>24.5738</v>
      </c>
      <c r="AE8" s="7" t="n">
        <v>24.583</v>
      </c>
      <c r="AF8" s="7" t="n">
        <v>24.5876</v>
      </c>
      <c r="AG8" s="7" t="n">
        <v>24.5871</v>
      </c>
      <c r="AH8" s="7" t="n">
        <v>24.5818</v>
      </c>
      <c r="AI8" s="7" t="n">
        <v>24.5719</v>
      </c>
      <c r="AJ8" s="7" t="n">
        <v>24.558</v>
      </c>
      <c r="AK8" s="7" t="n">
        <v>24.541</v>
      </c>
      <c r="AL8" s="7" t="n">
        <v>24.5219</v>
      </c>
      <c r="AM8" s="7" t="n">
        <v>24.502</v>
      </c>
      <c r="AN8" s="7" t="n">
        <v>24.4824</v>
      </c>
      <c r="AO8" s="7" t="n">
        <v>24.4645</v>
      </c>
      <c r="AP8" s="7" t="n">
        <v>24.4492</v>
      </c>
      <c r="AQ8" s="7" t="n">
        <v>24.4376</v>
      </c>
      <c r="AR8" s="7" t="n">
        <v>24.4304</v>
      </c>
      <c r="AS8" s="7" t="n">
        <v>24.428</v>
      </c>
      <c r="AT8" s="7" t="n">
        <v>24.4306</v>
      </c>
      <c r="AU8" s="7" t="n">
        <v>24.438</v>
      </c>
      <c r="AV8" s="7" t="n">
        <v>24.4497</v>
      </c>
      <c r="AW8" s="7" t="n">
        <v>24.4651</v>
      </c>
      <c r="AX8" s="7" t="n">
        <v>24.4831</v>
      </c>
      <c r="AY8" s="7" t="n">
        <v>24.5027</v>
      </c>
      <c r="AZ8" s="7" t="n">
        <v>24.5226</v>
      </c>
      <c r="BA8" s="7" t="n">
        <v>24.5416</v>
      </c>
      <c r="BB8" s="7" t="n">
        <v>24.5585</v>
      </c>
      <c r="BC8" s="7" t="n">
        <v>24.5723</v>
      </c>
      <c r="BD8" s="7">
        <f>AVERAGE(S8:BC8)</f>
        <v/>
      </c>
      <c r="BE8" s="7">
        <f>MAX(S8:BC8)-MIN(S8:BC8)</f>
        <v/>
      </c>
      <c r="BF8" s="14" t="n"/>
      <c r="BG8" s="6" t="inlineStr">
        <is>
          <t>WW</t>
        </is>
      </c>
      <c r="BH8" s="6" t="inlineStr">
        <is>
          <t>W-2-W</t>
        </is>
      </c>
      <c r="BI8" s="6" t="inlineStr">
        <is>
          <t>R-2-R</t>
        </is>
      </c>
    </row>
    <row r="9">
      <c r="B9" s="7" t="n">
        <v>3</v>
      </c>
      <c r="C9" s="7" t="n">
        <v/>
      </c>
      <c r="D9" s="7" t="n">
        <v>24.5665</v>
      </c>
      <c r="E9" s="7" t="n">
        <v>24.5793</v>
      </c>
      <c r="F9" s="7" t="n">
        <v>24.5879</v>
      </c>
      <c r="G9" s="7" t="n">
        <v>24.5918</v>
      </c>
      <c r="H9" s="7" t="n">
        <v>24.5907</v>
      </c>
      <c r="I9" s="7" t="n">
        <v>24.5847</v>
      </c>
      <c r="J9" s="7" t="n">
        <v>24.5742</v>
      </c>
      <c r="K9" s="7" t="n">
        <v>24.5599</v>
      </c>
      <c r="L9" s="7" t="n">
        <v>24.5425</v>
      </c>
      <c r="M9" s="7" t="n">
        <v>24.5233</v>
      </c>
      <c r="N9" s="7" t="n">
        <v>24.5033</v>
      </c>
      <c r="O9" s="7" t="n">
        <v>24.4839</v>
      </c>
      <c r="P9" s="7" t="n">
        <v>24.4663</v>
      </c>
      <c r="Q9" s="7" t="n">
        <v>24.4515</v>
      </c>
      <c r="R9" s="7" t="n">
        <v>24.4404</v>
      </c>
      <c r="S9" s="7" t="n">
        <v>24.4338</v>
      </c>
      <c r="T9" s="7" t="n">
        <v>24.4321</v>
      </c>
      <c r="U9" s="7" t="n">
        <v>24.4353</v>
      </c>
      <c r="V9" s="7" t="n">
        <v>24.4433</v>
      </c>
      <c r="W9" s="7" t="n">
        <v>24.4556</v>
      </c>
      <c r="X9" s="7" t="n">
        <v>24.4713</v>
      </c>
      <c r="Y9" s="7" t="n">
        <v>24.4896</v>
      </c>
      <c r="Z9" s="7" t="n">
        <v>24.5093</v>
      </c>
      <c r="AA9" s="7" t="n">
        <v>24.5292</v>
      </c>
      <c r="AB9" s="7" t="n">
        <v>24.548</v>
      </c>
      <c r="AC9" s="7" t="n">
        <v>24.5646</v>
      </c>
      <c r="AD9" s="7" t="n">
        <v>24.5778</v>
      </c>
      <c r="AE9" s="7" t="n">
        <v>24.587</v>
      </c>
      <c r="AF9" s="7" t="n">
        <v>24.5916</v>
      </c>
      <c r="AG9" s="7" t="n">
        <v>24.5911</v>
      </c>
      <c r="AH9" s="7" t="n">
        <v>24.5858</v>
      </c>
      <c r="AI9" s="7" t="n">
        <v>24.5759</v>
      </c>
      <c r="AJ9" s="7" t="n">
        <v>24.562</v>
      </c>
      <c r="AK9" s="7" t="n">
        <v>24.545</v>
      </c>
      <c r="AL9" s="7" t="n">
        <v>24.5259</v>
      </c>
      <c r="AM9" s="7" t="n">
        <v>24.506</v>
      </c>
      <c r="AN9" s="7" t="n">
        <v>24.4864</v>
      </c>
      <c r="AO9" s="7" t="n">
        <v>24.4685</v>
      </c>
      <c r="AP9" s="7" t="n">
        <v>24.4532</v>
      </c>
      <c r="AQ9" s="7" t="n">
        <v>24.4416</v>
      </c>
      <c r="AR9" s="7" t="n">
        <v>24.4344</v>
      </c>
      <c r="AS9" s="7" t="n">
        <v>24.432</v>
      </c>
      <c r="AT9" s="7" t="n">
        <v>24.4346</v>
      </c>
      <c r="AU9" s="7" t="n">
        <v>24.442</v>
      </c>
      <c r="AV9" s="7" t="n">
        <v>24.4537</v>
      </c>
      <c r="AW9" s="7" t="n">
        <v>24.4691</v>
      </c>
      <c r="AX9" s="7" t="n">
        <v>24.4871</v>
      </c>
      <c r="AY9" s="7" t="n">
        <v>24.5067</v>
      </c>
      <c r="AZ9" s="7" t="n">
        <v>24.5266</v>
      </c>
      <c r="BA9" s="7" t="n">
        <v>24.5456</v>
      </c>
      <c r="BB9" s="7" t="n">
        <v>24.5625</v>
      </c>
      <c r="BC9" s="7" t="n">
        <v>24.5763</v>
      </c>
      <c r="BD9" s="7">
        <f>AVERAGE(S9:BC9)</f>
        <v/>
      </c>
      <c r="BE9" s="7">
        <f>MAX(S9:BC9)-MIN(S9:BC9)</f>
        <v/>
      </c>
      <c r="BF9" s="14" t="n"/>
      <c r="BG9" s="17" t="n">
        <v>1.727</v>
      </c>
      <c r="BH9" s="17" t="inlineStr">
        <is>
          <t>-</t>
        </is>
      </c>
      <c r="BI9" s="17" t="inlineStr">
        <is>
          <t>-</t>
        </is>
      </c>
    </row>
    <row r="10">
      <c r="B10" s="7" t="n">
        <v>4</v>
      </c>
      <c r="C10" s="7" t="n">
        <v/>
      </c>
      <c r="D10" s="7" t="n">
        <v>24.5705</v>
      </c>
      <c r="E10" s="7" t="n">
        <v>24.5833</v>
      </c>
      <c r="F10" s="7" t="n">
        <v>24.5919</v>
      </c>
      <c r="G10" s="7" t="n">
        <v>24.5958</v>
      </c>
      <c r="H10" s="7" t="n">
        <v>24.5947</v>
      </c>
      <c r="I10" s="7" t="n">
        <v>24.5887</v>
      </c>
      <c r="J10" s="7" t="n">
        <v>24.5782</v>
      </c>
      <c r="K10" s="7" t="n">
        <v>24.5639</v>
      </c>
      <c r="L10" s="7" t="n">
        <v>24.5465</v>
      </c>
      <c r="M10" s="7" t="n">
        <v>24.5273</v>
      </c>
      <c r="N10" s="7" t="n">
        <v>24.5073</v>
      </c>
      <c r="O10" s="7" t="n">
        <v>24.4879</v>
      </c>
      <c r="P10" s="7" t="n">
        <v>24.4703</v>
      </c>
      <c r="Q10" s="7" t="n">
        <v>24.4555</v>
      </c>
      <c r="R10" s="7" t="n">
        <v>24.4444</v>
      </c>
      <c r="S10" s="7" t="n">
        <v>24.4378</v>
      </c>
      <c r="T10" s="7" t="n">
        <v>24.4361</v>
      </c>
      <c r="U10" s="7" t="n">
        <v>24.4393</v>
      </c>
      <c r="V10" s="7" t="n">
        <v>24.4473</v>
      </c>
      <c r="W10" s="7" t="n">
        <v>24.4596</v>
      </c>
      <c r="X10" s="7" t="n">
        <v>24.4753</v>
      </c>
      <c r="Y10" s="7" t="n">
        <v>24.4936</v>
      </c>
      <c r="Z10" s="7" t="n">
        <v>24.5133</v>
      </c>
      <c r="AA10" s="7" t="n">
        <v>24.5332</v>
      </c>
      <c r="AB10" s="7" t="n">
        <v>24.552</v>
      </c>
      <c r="AC10" s="7" t="n">
        <v>24.5686</v>
      </c>
      <c r="AD10" s="7" t="n">
        <v>24.5818</v>
      </c>
      <c r="AE10" s="7" t="n">
        <v>24.591</v>
      </c>
      <c r="AF10" s="7" t="n">
        <v>24.5956</v>
      </c>
      <c r="AG10" s="7" t="n">
        <v>24.5951</v>
      </c>
      <c r="AH10" s="7" t="n">
        <v>24.5898</v>
      </c>
      <c r="AI10" s="7" t="n">
        <v>24.5799</v>
      </c>
      <c r="AJ10" s="7" t="n">
        <v>24.566</v>
      </c>
      <c r="AK10" s="7" t="n">
        <v>24.549</v>
      </c>
      <c r="AL10" s="7" t="n">
        <v>24.5299</v>
      </c>
      <c r="AM10" s="7" t="n">
        <v>24.51</v>
      </c>
      <c r="AN10" s="7" t="n">
        <v>24.4904</v>
      </c>
      <c r="AO10" s="7" t="n">
        <v>24.4725</v>
      </c>
      <c r="AP10" s="7" t="n">
        <v>24.4572</v>
      </c>
      <c r="AQ10" s="7" t="n">
        <v>24.4456</v>
      </c>
      <c r="AR10" s="7" t="n">
        <v>24.4384</v>
      </c>
      <c r="AS10" s="7" t="n">
        <v>24.436</v>
      </c>
      <c r="AT10" s="7" t="n">
        <v>24.4386</v>
      </c>
      <c r="AU10" s="7" t="n">
        <v>24.446</v>
      </c>
      <c r="AV10" s="7" t="n">
        <v>24.4577</v>
      </c>
      <c r="AW10" s="7" t="n">
        <v>24.4731</v>
      </c>
      <c r="AX10" s="7" t="n">
        <v>24.4911</v>
      </c>
      <c r="AY10" s="7" t="n">
        <v>24.5107</v>
      </c>
      <c r="AZ10" s="7" t="n">
        <v>24.5306</v>
      </c>
      <c r="BA10" s="7" t="n">
        <v>24.5496</v>
      </c>
      <c r="BB10" s="7" t="n">
        <v>24.5665</v>
      </c>
      <c r="BC10" s="7" t="n">
        <v>24.5803</v>
      </c>
      <c r="BD10" s="7">
        <f>AVERAGE(S10:BC10)</f>
        <v/>
      </c>
      <c r="BE10" s="7">
        <f>MAX(S10:BC10)-MIN(S10:BC10)</f>
        <v/>
      </c>
      <c r="BF10" s="14" t="n"/>
      <c r="BG10" s="14" t="n"/>
      <c r="BH10" s="14" t="n"/>
      <c r="BI10" s="14" t="n"/>
    </row>
    <row r="11">
      <c r="B11" s="7" t="n">
        <v>5</v>
      </c>
      <c r="C11" s="7" t="n">
        <v/>
      </c>
      <c r="D11" s="7" t="n">
        <v>24.5745</v>
      </c>
      <c r="E11" s="7" t="n">
        <v>24.5873</v>
      </c>
      <c r="F11" s="7" t="n">
        <v>24.5959</v>
      </c>
      <c r="G11" s="7" t="n">
        <v>24.5998</v>
      </c>
      <c r="H11" s="7" t="n">
        <v>24.5987</v>
      </c>
      <c r="I11" s="7" t="n">
        <v>24.5927</v>
      </c>
      <c r="J11" s="7" t="n">
        <v>24.5822</v>
      </c>
      <c r="K11" s="7" t="n">
        <v>24.5679</v>
      </c>
      <c r="L11" s="7" t="n">
        <v>24.5505</v>
      </c>
      <c r="M11" s="7" t="n">
        <v>24.5313</v>
      </c>
      <c r="N11" s="7" t="n">
        <v>24.5113</v>
      </c>
      <c r="O11" s="7" t="n">
        <v>24.4919</v>
      </c>
      <c r="P11" s="7" t="n">
        <v>24.4743</v>
      </c>
      <c r="Q11" s="7" t="n">
        <v>24.4595</v>
      </c>
      <c r="R11" s="7" t="n">
        <v>24.4484</v>
      </c>
      <c r="S11" s="7" t="n">
        <v>24.4418</v>
      </c>
      <c r="T11" s="7" t="n">
        <v>24.4401</v>
      </c>
      <c r="U11" s="7" t="n">
        <v>24.4433</v>
      </c>
      <c r="V11" s="7" t="n">
        <v>24.4513</v>
      </c>
      <c r="W11" s="7" t="n">
        <v>24.4636</v>
      </c>
      <c r="X11" s="7" t="n">
        <v>24.4793</v>
      </c>
      <c r="Y11" s="7" t="n">
        <v>24.4976</v>
      </c>
      <c r="Z11" s="7" t="n">
        <v>24.5173</v>
      </c>
      <c r="AA11" s="7" t="n">
        <v>24.5372</v>
      </c>
      <c r="AB11" s="7" t="n">
        <v>24.556</v>
      </c>
      <c r="AC11" s="7" t="n">
        <v>24.5726</v>
      </c>
      <c r="AD11" s="7" t="n">
        <v>24.5858</v>
      </c>
      <c r="AE11" s="7" t="n">
        <v>24.595</v>
      </c>
      <c r="AF11" s="7" t="n">
        <v>24.5996</v>
      </c>
      <c r="AG11" s="7" t="n">
        <v>24.5991</v>
      </c>
      <c r="AH11" s="7" t="n">
        <v>24.5938</v>
      </c>
      <c r="AI11" s="7" t="n">
        <v>24.5839</v>
      </c>
      <c r="AJ11" s="7" t="n">
        <v>24.57</v>
      </c>
      <c r="AK11" s="7" t="n">
        <v>24.553</v>
      </c>
      <c r="AL11" s="7" t="n">
        <v>24.5339</v>
      </c>
      <c r="AM11" s="7" t="n">
        <v>24.514</v>
      </c>
      <c r="AN11" s="7" t="n">
        <v>24.4944</v>
      </c>
      <c r="AO11" s="7" t="n">
        <v>24.4765</v>
      </c>
      <c r="AP11" s="7" t="n">
        <v>24.4612</v>
      </c>
      <c r="AQ11" s="7" t="n">
        <v>24.4496</v>
      </c>
      <c r="AR11" s="7" t="n">
        <v>24.4424</v>
      </c>
      <c r="AS11" s="7" t="n">
        <v>24.44</v>
      </c>
      <c r="AT11" s="7" t="n">
        <v>24.4426</v>
      </c>
      <c r="AU11" s="7" t="n">
        <v>24.45</v>
      </c>
      <c r="AV11" s="7" t="n">
        <v>24.4617</v>
      </c>
      <c r="AW11" s="7" t="n">
        <v>24.4771</v>
      </c>
      <c r="AX11" s="7" t="n">
        <v>24.4951</v>
      </c>
      <c r="AY11" s="7" t="n">
        <v>24.5147</v>
      </c>
      <c r="AZ11" s="7" t="n">
        <v>24.5346</v>
      </c>
      <c r="BA11" s="7" t="n">
        <v>24.5536</v>
      </c>
      <c r="BB11" s="7" t="n">
        <v>24.5705</v>
      </c>
      <c r="BC11" s="7" t="n">
        <v>24.5843</v>
      </c>
      <c r="BD11" s="7">
        <f>AVERAGE(S11:BC11)</f>
        <v/>
      </c>
      <c r="BE11" s="7">
        <f>MAX(S11:BC11)-MIN(S11:BC11)</f>
        <v/>
      </c>
      <c r="BF11" s="14" t="n"/>
      <c r="BG11" s="14" t="n"/>
      <c r="BH11" s="14" t="n"/>
      <c r="BI11" s="14" t="n"/>
    </row>
    <row r="12">
      <c r="BC12" s="8" t="inlineStr">
        <is>
          <t>Run Average</t>
        </is>
      </c>
      <c r="BD12" s="7">
        <f>AVERAGE(BD7:BD11)</f>
        <v/>
      </c>
      <c r="BF12" s="14" t="n"/>
      <c r="BG12" s="14" t="n"/>
      <c r="BH12" s="14" t="n"/>
      <c r="BI12" s="14" t="n"/>
    </row>
    <row r="13">
      <c r="BF13" s="14" t="n"/>
      <c r="BG13" s="14" t="n"/>
      <c r="BH13" s="14" t="n"/>
      <c r="BI13" s="14" t="n"/>
    </row>
    <row r="14">
      <c r="B14" s="15" t="inlineStr">
        <is>
          <t>V3103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  <c r="BA14" s="16" t="n"/>
      <c r="BB14" s="16" t="n"/>
      <c r="BC14" s="16" t="n"/>
      <c r="BD14" s="16" t="n"/>
      <c r="BE14" s="16" t="n"/>
      <c r="BF14" s="14" t="n"/>
      <c r="BG14" s="14" t="n"/>
      <c r="BH14" s="14" t="n"/>
      <c r="BI14" s="14" t="n"/>
    </row>
    <row r="15">
      <c r="B15" s="6" t="inlineStr">
        <is>
          <t>Measurement</t>
        </is>
      </c>
      <c r="C15" s="6" t="inlineStr">
        <is>
          <t>Measurement</t>
        </is>
      </c>
      <c r="D15" s="6" t="inlineStr">
        <is>
          <t>Measurement</t>
        </is>
      </c>
      <c r="E15" s="6" t="inlineStr">
        <is>
          <t>Measurement</t>
        </is>
      </c>
      <c r="F15" s="6" t="inlineStr">
        <is>
          <t>Measurement</t>
        </is>
      </c>
      <c r="G15" s="6" t="inlineStr">
        <is>
          <t>Measurement</t>
        </is>
      </c>
      <c r="H15" s="6" t="inlineStr">
        <is>
          <t>Measurement</t>
        </is>
      </c>
      <c r="I15" s="6" t="inlineStr">
        <is>
          <t>Measurement</t>
        </is>
      </c>
      <c r="J15" s="6" t="inlineStr">
        <is>
          <t>Measurement</t>
        </is>
      </c>
      <c r="K15" s="6" t="inlineStr">
        <is>
          <t>Measurement</t>
        </is>
      </c>
      <c r="L15" s="6" t="inlineStr">
        <is>
          <t>Measurement</t>
        </is>
      </c>
      <c r="M15" s="6" t="inlineStr">
        <is>
          <t>Measurement</t>
        </is>
      </c>
      <c r="N15" s="6" t="inlineStr">
        <is>
          <t>Measurement</t>
        </is>
      </c>
      <c r="O15" s="6" t="inlineStr">
        <is>
          <t>Measurement</t>
        </is>
      </c>
      <c r="P15" s="6" t="inlineStr">
        <is>
          <t>Measurement</t>
        </is>
      </c>
      <c r="Q15" s="6" t="inlineStr">
        <is>
          <t>Measurement</t>
        </is>
      </c>
      <c r="R15" s="6" t="inlineStr">
        <is>
          <t>Measurement</t>
        </is>
      </c>
      <c r="S15" s="6" t="inlineStr">
        <is>
          <t>Measurement</t>
        </is>
      </c>
      <c r="T15" s="6" t="inlineStr">
        <is>
          <t>Measurement</t>
        </is>
      </c>
      <c r="U15" s="6" t="inlineStr">
        <is>
          <t>Measurement</t>
        </is>
      </c>
      <c r="V15" s="6" t="inlineStr">
        <is>
          <t>Measurement</t>
        </is>
      </c>
      <c r="W15" s="6" t="inlineStr">
        <is>
          <t>Measurement</t>
        </is>
      </c>
      <c r="X15" s="6" t="inlineStr">
        <is>
          <t>Measurement</t>
        </is>
      </c>
      <c r="Y15" s="6" t="inlineStr">
        <is>
          <t>Measurement</t>
        </is>
      </c>
      <c r="Z15" s="6" t="inlineStr">
        <is>
          <t>Measurement</t>
        </is>
      </c>
      <c r="AA15" s="6" t="inlineStr">
        <is>
          <t>Measurement</t>
        </is>
      </c>
      <c r="AB15" s="6" t="inlineStr">
        <is>
          <t>Measurement</t>
        </is>
      </c>
      <c r="AC15" s="6" t="inlineStr">
        <is>
          <t>Measurement</t>
        </is>
      </c>
      <c r="AD15" s="6" t="inlineStr">
        <is>
          <t>Measurement</t>
        </is>
      </c>
      <c r="AE15" s="6" t="inlineStr">
        <is>
          <t>Measurement</t>
        </is>
      </c>
      <c r="AF15" s="6" t="inlineStr">
        <is>
          <t>Measurement</t>
        </is>
      </c>
      <c r="AG15" s="6" t="inlineStr">
        <is>
          <t>Measurement</t>
        </is>
      </c>
      <c r="AH15" s="6" t="inlineStr">
        <is>
          <t>Measurement</t>
        </is>
      </c>
      <c r="AI15" s="6" t="inlineStr">
        <is>
          <t>Measurement</t>
        </is>
      </c>
      <c r="AJ15" s="6" t="inlineStr">
        <is>
          <t>Measurement</t>
        </is>
      </c>
      <c r="AK15" s="6" t="inlineStr">
        <is>
          <t>Measurement</t>
        </is>
      </c>
      <c r="AL15" s="6" t="inlineStr">
        <is>
          <t>Measurement</t>
        </is>
      </c>
      <c r="AM15" s="6" t="inlineStr">
        <is>
          <t>Measurement</t>
        </is>
      </c>
      <c r="AN15" s="6" t="inlineStr">
        <is>
          <t>Measurement</t>
        </is>
      </c>
      <c r="AO15" s="6" t="inlineStr">
        <is>
          <t>Measurement</t>
        </is>
      </c>
      <c r="AP15" s="6" t="inlineStr">
        <is>
          <t>Measurement</t>
        </is>
      </c>
      <c r="AQ15" s="6" t="inlineStr">
        <is>
          <t>Measurement</t>
        </is>
      </c>
      <c r="AR15" s="6" t="inlineStr">
        <is>
          <t>Measurement</t>
        </is>
      </c>
      <c r="AS15" s="6" t="inlineStr">
        <is>
          <t>Measurement</t>
        </is>
      </c>
      <c r="AT15" s="6" t="inlineStr">
        <is>
          <t>Measurement</t>
        </is>
      </c>
      <c r="AU15" s="6" t="inlineStr">
        <is>
          <t>Measurement</t>
        </is>
      </c>
      <c r="AV15" s="6" t="inlineStr">
        <is>
          <t>Measurement</t>
        </is>
      </c>
      <c r="AW15" s="6" t="inlineStr">
        <is>
          <t>Measurement</t>
        </is>
      </c>
      <c r="AX15" s="6" t="inlineStr">
        <is>
          <t>Measurement</t>
        </is>
      </c>
      <c r="AY15" s="6" t="inlineStr">
        <is>
          <t>Measurement</t>
        </is>
      </c>
      <c r="AZ15" s="6" t="inlineStr">
        <is>
          <t>Measurement</t>
        </is>
      </c>
      <c r="BA15" s="6" t="inlineStr">
        <is>
          <t>Measurement</t>
        </is>
      </c>
      <c r="BB15" s="6" t="inlineStr">
        <is>
          <t>Measurement</t>
        </is>
      </c>
      <c r="BC15" s="6" t="inlineStr">
        <is>
          <t>Measurement</t>
        </is>
      </c>
      <c r="BD15" s="6" t="inlineStr"/>
      <c r="BE15" s="6" t="inlineStr"/>
      <c r="BF15" s="14" t="n"/>
      <c r="BG15" s="14" t="n"/>
      <c r="BH15" s="14" t="n"/>
      <c r="BI15" s="14" t="n"/>
    </row>
    <row r="16">
      <c r="B16" s="9" t="n"/>
      <c r="C16" s="9" t="n"/>
      <c r="D16" s="6" t="inlineStr">
        <is>
          <t>Site 3</t>
        </is>
      </c>
      <c r="E16" s="6" t="inlineStr">
        <is>
          <t>Site 4</t>
        </is>
      </c>
      <c r="F16" s="6" t="inlineStr">
        <is>
          <t>Site 5</t>
        </is>
      </c>
      <c r="G16" s="6" t="inlineStr">
        <is>
          <t>Site 6</t>
        </is>
      </c>
      <c r="H16" s="6" t="inlineStr">
        <is>
          <t>Site 7</t>
        </is>
      </c>
      <c r="I16" s="6" t="inlineStr">
        <is>
          <t>Site 8</t>
        </is>
      </c>
      <c r="J16" s="6" t="inlineStr">
        <is>
          <t>Site 9</t>
        </is>
      </c>
      <c r="K16" s="6" t="inlineStr">
        <is>
          <t>Site 10</t>
        </is>
      </c>
      <c r="L16" s="6" t="inlineStr">
        <is>
          <t>Site 11</t>
        </is>
      </c>
      <c r="M16" s="6" t="inlineStr">
        <is>
          <t>Site 12</t>
        </is>
      </c>
      <c r="N16" s="6" t="inlineStr">
        <is>
          <t>Site 13</t>
        </is>
      </c>
      <c r="O16" s="6" t="inlineStr">
        <is>
          <t>Site 14</t>
        </is>
      </c>
      <c r="P16" s="6" t="inlineStr">
        <is>
          <t>Site 15</t>
        </is>
      </c>
      <c r="Q16" s="6" t="inlineStr">
        <is>
          <t>Site 16</t>
        </is>
      </c>
      <c r="R16" s="6" t="inlineStr">
        <is>
          <t>Site 17</t>
        </is>
      </c>
      <c r="S16" s="6" t="inlineStr">
        <is>
          <t>Site 18</t>
        </is>
      </c>
      <c r="T16" s="6" t="inlineStr">
        <is>
          <t>Site 19</t>
        </is>
      </c>
      <c r="U16" s="6" t="inlineStr">
        <is>
          <t>Site 20</t>
        </is>
      </c>
      <c r="V16" s="6" t="inlineStr">
        <is>
          <t>Site 21</t>
        </is>
      </c>
      <c r="W16" s="6" t="inlineStr">
        <is>
          <t>Site 22</t>
        </is>
      </c>
      <c r="X16" s="6" t="inlineStr">
        <is>
          <t>Site 23</t>
        </is>
      </c>
      <c r="Y16" s="6" t="inlineStr">
        <is>
          <t>Site 24</t>
        </is>
      </c>
      <c r="Z16" s="6" t="inlineStr">
        <is>
          <t>Site 25</t>
        </is>
      </c>
      <c r="AA16" s="6" t="inlineStr">
        <is>
          <t>Site 26</t>
        </is>
      </c>
      <c r="AB16" s="6" t="inlineStr">
        <is>
          <t>Site 27</t>
        </is>
      </c>
      <c r="AC16" s="6" t="inlineStr">
        <is>
          <t>Site 28</t>
        </is>
      </c>
      <c r="AD16" s="6" t="inlineStr">
        <is>
          <t>Site 29</t>
        </is>
      </c>
      <c r="AE16" s="6" t="inlineStr">
        <is>
          <t>Site 30</t>
        </is>
      </c>
      <c r="AF16" s="6" t="inlineStr">
        <is>
          <t>Site 31</t>
        </is>
      </c>
      <c r="AG16" s="6" t="inlineStr">
        <is>
          <t>Site 32</t>
        </is>
      </c>
      <c r="AH16" s="6" t="inlineStr">
        <is>
          <t>Site 33</t>
        </is>
      </c>
      <c r="AI16" s="6" t="inlineStr">
        <is>
          <t>Site 34</t>
        </is>
      </c>
      <c r="AJ16" s="6" t="inlineStr">
        <is>
          <t>Site 35</t>
        </is>
      </c>
      <c r="AK16" s="6" t="inlineStr">
        <is>
          <t>Site 36</t>
        </is>
      </c>
      <c r="AL16" s="6" t="inlineStr">
        <is>
          <t>Site 37</t>
        </is>
      </c>
      <c r="AM16" s="6" t="inlineStr">
        <is>
          <t>Site 38</t>
        </is>
      </c>
      <c r="AN16" s="6" t="inlineStr">
        <is>
          <t>Site 39</t>
        </is>
      </c>
      <c r="AO16" s="6" t="inlineStr">
        <is>
          <t>Site 40</t>
        </is>
      </c>
      <c r="AP16" s="6" t="inlineStr">
        <is>
          <t>Site 41</t>
        </is>
      </c>
      <c r="AQ16" s="6" t="inlineStr">
        <is>
          <t>Site 42</t>
        </is>
      </c>
      <c r="AR16" s="6" t="inlineStr">
        <is>
          <t>Site 43</t>
        </is>
      </c>
      <c r="AS16" s="6" t="inlineStr">
        <is>
          <t>Site 44</t>
        </is>
      </c>
      <c r="AT16" s="6" t="inlineStr">
        <is>
          <t>Site 45</t>
        </is>
      </c>
      <c r="AU16" s="6" t="inlineStr">
        <is>
          <t>Site 46</t>
        </is>
      </c>
      <c r="AV16" s="6" t="inlineStr">
        <is>
          <t>Site 47</t>
        </is>
      </c>
      <c r="AW16" s="6" t="inlineStr">
        <is>
          <t>Site 48</t>
        </is>
      </c>
      <c r="AX16" s="6" t="inlineStr">
        <is>
          <t>Site 49</t>
        </is>
      </c>
      <c r="AY16" s="6" t="inlineStr">
        <is>
          <t>Site 50</t>
        </is>
      </c>
      <c r="AZ16" s="6" t="inlineStr">
        <is>
          <t>Site 51</t>
        </is>
      </c>
      <c r="BA16" s="6" t="inlineStr">
        <is>
          <t>Site 52</t>
        </is>
      </c>
      <c r="BB16" s="6" t="inlineStr">
        <is>
          <t>Site 53</t>
        </is>
      </c>
      <c r="BC16" s="6" t="inlineStr">
        <is>
          <t>Site 54</t>
        </is>
      </c>
      <c r="BD16" s="6" t="inlineStr"/>
      <c r="BE16" s="6" t="inlineStr"/>
      <c r="BF16" s="14" t="n"/>
      <c r="BG16" s="14" t="n"/>
      <c r="BH16" s="14" t="n"/>
      <c r="BI16" s="14" t="n"/>
    </row>
    <row r="17">
      <c r="B17" s="10" t="n"/>
      <c r="C17" s="10" t="n"/>
      <c r="D17" s="6" t="inlineStr">
        <is>
          <t>%</t>
        </is>
      </c>
      <c r="E17" s="6" t="inlineStr">
        <is>
          <t>%</t>
        </is>
      </c>
      <c r="F17" s="6" t="inlineStr">
        <is>
          <t>%</t>
        </is>
      </c>
      <c r="G17" s="6" t="inlineStr">
        <is>
          <t>%</t>
        </is>
      </c>
      <c r="H17" s="6" t="inlineStr">
        <is>
          <t>%</t>
        </is>
      </c>
      <c r="I17" s="6" t="inlineStr">
        <is>
          <t>%</t>
        </is>
      </c>
      <c r="J17" s="6" t="inlineStr">
        <is>
          <t>%</t>
        </is>
      </c>
      <c r="K17" s="6" t="inlineStr">
        <is>
          <t>%</t>
        </is>
      </c>
      <c r="L17" s="6" t="inlineStr">
        <is>
          <t>%</t>
        </is>
      </c>
      <c r="M17" s="6" t="inlineStr">
        <is>
          <t>%</t>
        </is>
      </c>
      <c r="N17" s="6" t="inlineStr">
        <is>
          <t>%</t>
        </is>
      </c>
      <c r="O17" s="6" t="inlineStr">
        <is>
          <t>%</t>
        </is>
      </c>
      <c r="P17" s="6" t="inlineStr">
        <is>
          <t>%</t>
        </is>
      </c>
      <c r="Q17" s="6" t="inlineStr">
        <is>
          <t>%</t>
        </is>
      </c>
      <c r="R17" s="6" t="inlineStr">
        <is>
          <t>%</t>
        </is>
      </c>
      <c r="S17" s="6" t="inlineStr">
        <is>
          <t>%</t>
        </is>
      </c>
      <c r="T17" s="6" t="inlineStr">
        <is>
          <t>%</t>
        </is>
      </c>
      <c r="U17" s="6" t="inlineStr">
        <is>
          <t>%</t>
        </is>
      </c>
      <c r="V17" s="6" t="inlineStr">
        <is>
          <t>%</t>
        </is>
      </c>
      <c r="W17" s="6" t="inlineStr">
        <is>
          <t>%</t>
        </is>
      </c>
      <c r="X17" s="6" t="inlineStr">
        <is>
          <t>%</t>
        </is>
      </c>
      <c r="Y17" s="6" t="inlineStr">
        <is>
          <t>%</t>
        </is>
      </c>
      <c r="Z17" s="6" t="inlineStr">
        <is>
          <t>%</t>
        </is>
      </c>
      <c r="AA17" s="6" t="inlineStr">
        <is>
          <t>%</t>
        </is>
      </c>
      <c r="AB17" s="6" t="inlineStr">
        <is>
          <t>%</t>
        </is>
      </c>
      <c r="AC17" s="6" t="inlineStr">
        <is>
          <t>%</t>
        </is>
      </c>
      <c r="AD17" s="6" t="inlineStr">
        <is>
          <t>%</t>
        </is>
      </c>
      <c r="AE17" s="6" t="inlineStr">
        <is>
          <t>%</t>
        </is>
      </c>
      <c r="AF17" s="6" t="inlineStr">
        <is>
          <t>%</t>
        </is>
      </c>
      <c r="AG17" s="6" t="inlineStr">
        <is>
          <t>%</t>
        </is>
      </c>
      <c r="AH17" s="6" t="inlineStr">
        <is>
          <t>%</t>
        </is>
      </c>
      <c r="AI17" s="6" t="inlineStr">
        <is>
          <t>%</t>
        </is>
      </c>
      <c r="AJ17" s="6" t="inlineStr">
        <is>
          <t>%</t>
        </is>
      </c>
      <c r="AK17" s="6" t="inlineStr">
        <is>
          <t>%</t>
        </is>
      </c>
      <c r="AL17" s="6" t="inlineStr">
        <is>
          <t>%</t>
        </is>
      </c>
      <c r="AM17" s="6" t="inlineStr">
        <is>
          <t>%</t>
        </is>
      </c>
      <c r="AN17" s="6" t="inlineStr">
        <is>
          <t>%</t>
        </is>
      </c>
      <c r="AO17" s="6" t="inlineStr">
        <is>
          <t>%</t>
        </is>
      </c>
      <c r="AP17" s="6" t="inlineStr">
        <is>
          <t>%</t>
        </is>
      </c>
      <c r="AQ17" s="6" t="inlineStr">
        <is>
          <t>%</t>
        </is>
      </c>
      <c r="AR17" s="6" t="inlineStr">
        <is>
          <t>%</t>
        </is>
      </c>
      <c r="AS17" s="6" t="inlineStr">
        <is>
          <t>%</t>
        </is>
      </c>
      <c r="AT17" s="6" t="inlineStr">
        <is>
          <t>%</t>
        </is>
      </c>
      <c r="AU17" s="6" t="inlineStr">
        <is>
          <t>%</t>
        </is>
      </c>
      <c r="AV17" s="6" t="inlineStr">
        <is>
          <t>%</t>
        </is>
      </c>
      <c r="AW17" s="6" t="inlineStr">
        <is>
          <t>%</t>
        </is>
      </c>
      <c r="AX17" s="6" t="inlineStr">
        <is>
          <t>%</t>
        </is>
      </c>
      <c r="AY17" s="6" t="inlineStr">
        <is>
          <t>%</t>
        </is>
      </c>
      <c r="AZ17" s="6" t="inlineStr">
        <is>
          <t>%</t>
        </is>
      </c>
      <c r="BA17" s="6" t="inlineStr">
        <is>
          <t>%</t>
        </is>
      </c>
      <c r="BB17" s="6" t="inlineStr">
        <is>
          <t>%</t>
        </is>
      </c>
      <c r="BC17" s="6" t="inlineStr">
        <is>
          <t>%</t>
        </is>
      </c>
      <c r="BD17" s="6" t="inlineStr">
        <is>
          <t>Wafer Average</t>
        </is>
      </c>
      <c r="BE17" s="6" t="inlineStr">
        <is>
          <t>Wafer Uniformity</t>
        </is>
      </c>
      <c r="BF17" s="14" t="n"/>
      <c r="BG17" s="14" t="n"/>
      <c r="BH17" s="14" t="n"/>
      <c r="BI17" s="14" t="n"/>
    </row>
    <row r="18">
      <c r="B18" s="7" t="n">
        <v>6</v>
      </c>
      <c r="C18" s="7" t="n">
        <v/>
      </c>
      <c r="D18" s="7" t="n">
        <v>24.5785</v>
      </c>
      <c r="E18" s="7" t="n">
        <v>24.5913</v>
      </c>
      <c r="F18" s="7" t="n">
        <v>24.5999</v>
      </c>
      <c r="G18" s="7" t="n">
        <v>24.6038</v>
      </c>
      <c r="H18" s="7" t="n">
        <v>24.6027</v>
      </c>
      <c r="I18" s="7" t="n">
        <v>24.5967</v>
      </c>
      <c r="J18" s="7" t="n">
        <v>24.5862</v>
      </c>
      <c r="K18" s="7" t="n">
        <v>24.5719</v>
      </c>
      <c r="L18" s="7" t="n">
        <v>24.5545</v>
      </c>
      <c r="M18" s="7" t="n">
        <v>24.5353</v>
      </c>
      <c r="N18" s="7" t="n">
        <v>24.5153</v>
      </c>
      <c r="O18" s="7" t="n">
        <v>24.4959</v>
      </c>
      <c r="P18" s="7" t="n">
        <v>24.4783</v>
      </c>
      <c r="Q18" s="7" t="n">
        <v>24.4635</v>
      </c>
      <c r="R18" s="7" t="n">
        <v>24.4524</v>
      </c>
      <c r="S18" s="7" t="n">
        <v>24.4458</v>
      </c>
      <c r="T18" s="7" t="n">
        <v>24.4441</v>
      </c>
      <c r="U18" s="7" t="n">
        <v>24.4473</v>
      </c>
      <c r="V18" s="7" t="n">
        <v>24.4553</v>
      </c>
      <c r="W18" s="7" t="n">
        <v>24.4676</v>
      </c>
      <c r="X18" s="7" t="n">
        <v>24.4833</v>
      </c>
      <c r="Y18" s="7" t="n">
        <v>24.5016</v>
      </c>
      <c r="Z18" s="7" t="n">
        <v>24.5213</v>
      </c>
      <c r="AA18" s="7" t="n">
        <v>24.5412</v>
      </c>
      <c r="AB18" s="7" t="n">
        <v>24.56</v>
      </c>
      <c r="AC18" s="7" t="n">
        <v>24.5766</v>
      </c>
      <c r="AD18" s="7" t="n">
        <v>24.5898</v>
      </c>
      <c r="AE18" s="7" t="n">
        <v>24.599</v>
      </c>
      <c r="AF18" s="7" t="n">
        <v>24.6036</v>
      </c>
      <c r="AG18" s="7" t="n">
        <v>24.6031</v>
      </c>
      <c r="AH18" s="7" t="n">
        <v>24.5978</v>
      </c>
      <c r="AI18" s="7" t="n">
        <v>24.5879</v>
      </c>
      <c r="AJ18" s="7" t="n">
        <v>24.574</v>
      </c>
      <c r="AK18" s="7" t="n">
        <v>24.557</v>
      </c>
      <c r="AL18" s="7" t="n">
        <v>24.5379</v>
      </c>
      <c r="AM18" s="7" t="n">
        <v>24.518</v>
      </c>
      <c r="AN18" s="7" t="n">
        <v>24.4984</v>
      </c>
      <c r="AO18" s="7" t="n">
        <v>24.4805</v>
      </c>
      <c r="AP18" s="7" t="n">
        <v>24.4652</v>
      </c>
      <c r="AQ18" s="7" t="n">
        <v>24.4536</v>
      </c>
      <c r="AR18" s="7" t="n">
        <v>24.4464</v>
      </c>
      <c r="AS18" s="7" t="n">
        <v>24.444</v>
      </c>
      <c r="AT18" s="7" t="n">
        <v>24.4466</v>
      </c>
      <c r="AU18" s="7" t="n">
        <v>24.454</v>
      </c>
      <c r="AV18" s="7" t="n">
        <v>24.4657</v>
      </c>
      <c r="AW18" s="7" t="n">
        <v>24.4811</v>
      </c>
      <c r="AX18" s="7" t="n">
        <v>24.4991</v>
      </c>
      <c r="AY18" s="7" t="n">
        <v>24.5187</v>
      </c>
      <c r="AZ18" s="7" t="n">
        <v>24.5386</v>
      </c>
      <c r="BA18" s="7" t="n">
        <v>24.5576</v>
      </c>
      <c r="BB18" s="7" t="n">
        <v>24.5745</v>
      </c>
      <c r="BC18" s="7" t="n">
        <v>24.5883</v>
      </c>
      <c r="BD18" s="7">
        <f>AVERAGE(S18:BC18)</f>
        <v/>
      </c>
      <c r="BE18" s="7">
        <f>MAX(S18:BC18)-MIN(S18:BC18)</f>
        <v/>
      </c>
      <c r="BF18" s="14" t="n"/>
      <c r="BG18" s="14" t="n"/>
      <c r="BH18" s="14" t="n"/>
      <c r="BI18" s="14" t="n"/>
    </row>
    <row r="19">
      <c r="B19" s="7" t="n">
        <v>7</v>
      </c>
      <c r="C19" s="7" t="n">
        <v/>
      </c>
      <c r="D19" s="7" t="n">
        <v>24.5825</v>
      </c>
      <c r="E19" s="7" t="n">
        <v>24.5953</v>
      </c>
      <c r="F19" s="7" t="n">
        <v>24.6039</v>
      </c>
      <c r="G19" s="7" t="n">
        <v>24.6078</v>
      </c>
      <c r="H19" s="7" t="n">
        <v>24.6067</v>
      </c>
      <c r="I19" s="7" t="n">
        <v>24.6007</v>
      </c>
      <c r="J19" s="7" t="n">
        <v>24.5902</v>
      </c>
      <c r="K19" s="7" t="n">
        <v>24.5759</v>
      </c>
      <c r="L19" s="7" t="n">
        <v>24.5585</v>
      </c>
      <c r="M19" s="7" t="n">
        <v>24.5393</v>
      </c>
      <c r="N19" s="7" t="n">
        <v>24.5193</v>
      </c>
      <c r="O19" s="7" t="n">
        <v>24.4999</v>
      </c>
      <c r="P19" s="7" t="n">
        <v>24.4823</v>
      </c>
      <c r="Q19" s="7" t="n">
        <v>24.4675</v>
      </c>
      <c r="R19" s="7" t="n">
        <v>24.4564</v>
      </c>
      <c r="S19" s="7" t="n">
        <v>24.4498</v>
      </c>
      <c r="T19" s="7" t="n">
        <v>24.4481</v>
      </c>
      <c r="U19" s="7" t="n">
        <v>24.4513</v>
      </c>
      <c r="V19" s="7" t="n">
        <v>24.4593</v>
      </c>
      <c r="W19" s="7" t="n">
        <v>24.4716</v>
      </c>
      <c r="X19" s="7" t="n">
        <v>24.4873</v>
      </c>
      <c r="Y19" s="7" t="n">
        <v>24.5056</v>
      </c>
      <c r="Z19" s="7" t="n">
        <v>24.5253</v>
      </c>
      <c r="AA19" s="7" t="n">
        <v>24.5452</v>
      </c>
      <c r="AB19" s="7" t="n">
        <v>24.564</v>
      </c>
      <c r="AC19" s="7" t="n">
        <v>24.5806</v>
      </c>
      <c r="AD19" s="7" t="n">
        <v>24.5938</v>
      </c>
      <c r="AE19" s="7" t="n">
        <v>24.603</v>
      </c>
      <c r="AF19" s="7" t="n">
        <v>24.6076</v>
      </c>
      <c r="AG19" s="7" t="n">
        <v>24.6071</v>
      </c>
      <c r="AH19" s="7" t="n">
        <v>24.6018</v>
      </c>
      <c r="AI19" s="7" t="n">
        <v>24.5919</v>
      </c>
      <c r="AJ19" s="7" t="n">
        <v>24.578</v>
      </c>
      <c r="AK19" s="7" t="n">
        <v>24.561</v>
      </c>
      <c r="AL19" s="7" t="n">
        <v>24.5419</v>
      </c>
      <c r="AM19" s="7" t="n">
        <v>24.522</v>
      </c>
      <c r="AN19" s="7" t="n">
        <v>24.5024</v>
      </c>
      <c r="AO19" s="7" t="n">
        <v>24.4845</v>
      </c>
      <c r="AP19" s="7" t="n">
        <v>24.4692</v>
      </c>
      <c r="AQ19" s="7" t="n">
        <v>24.4576</v>
      </c>
      <c r="AR19" s="7" t="n">
        <v>24.4504</v>
      </c>
      <c r="AS19" s="7" t="n">
        <v>24.448</v>
      </c>
      <c r="AT19" s="7" t="n">
        <v>24.4506</v>
      </c>
      <c r="AU19" s="7" t="n">
        <v>24.458</v>
      </c>
      <c r="AV19" s="7" t="n">
        <v>24.4697</v>
      </c>
      <c r="AW19" s="7" t="n">
        <v>24.4851</v>
      </c>
      <c r="AX19" s="7" t="n">
        <v>24.5031</v>
      </c>
      <c r="AY19" s="7" t="n">
        <v>24.5227</v>
      </c>
      <c r="AZ19" s="7" t="n">
        <v>24.5426</v>
      </c>
      <c r="BA19" s="7" t="n">
        <v>24.5616</v>
      </c>
      <c r="BB19" s="7" t="n">
        <v>24.5785</v>
      </c>
      <c r="BC19" s="7" t="n">
        <v>24.5923</v>
      </c>
      <c r="BD19" s="7">
        <f>AVERAGE(S19:BC19)</f>
        <v/>
      </c>
      <c r="BE19" s="7">
        <f>MAX(S19:BC19)-MIN(S19:BC19)</f>
        <v/>
      </c>
      <c r="BF19" s="14" t="n"/>
      <c r="BG19" s="14" t="n"/>
      <c r="BH19" s="14" t="n"/>
      <c r="BI19" s="14" t="n"/>
    </row>
    <row r="20">
      <c r="B20" s="7" t="n">
        <v>8</v>
      </c>
      <c r="C20" s="7" t="n">
        <v/>
      </c>
      <c r="D20" s="7" t="n">
        <v>24.5865</v>
      </c>
      <c r="E20" s="7" t="n">
        <v>24.5993</v>
      </c>
      <c r="F20" s="7" t="n">
        <v>24.6079</v>
      </c>
      <c r="G20" s="7" t="n">
        <v>24.6118</v>
      </c>
      <c r="H20" s="7" t="n">
        <v>24.6107</v>
      </c>
      <c r="I20" s="7" t="n">
        <v>24.6047</v>
      </c>
      <c r="J20" s="7" t="n">
        <v>24.5942</v>
      </c>
      <c r="K20" s="7" t="n">
        <v>24.5799</v>
      </c>
      <c r="L20" s="7" t="n">
        <v>24.5625</v>
      </c>
      <c r="M20" s="7" t="n">
        <v>24.5433</v>
      </c>
      <c r="N20" s="7" t="n">
        <v>24.5233</v>
      </c>
      <c r="O20" s="7" t="n">
        <v>24.5039</v>
      </c>
      <c r="P20" s="7" t="n">
        <v>24.4863</v>
      </c>
      <c r="Q20" s="7" t="n">
        <v>24.4715</v>
      </c>
      <c r="R20" s="7" t="n">
        <v>24.4604</v>
      </c>
      <c r="S20" s="7" t="n">
        <v>24.4538</v>
      </c>
      <c r="T20" s="7" t="n">
        <v>24.4521</v>
      </c>
      <c r="U20" s="7" t="n">
        <v>24.4553</v>
      </c>
      <c r="V20" s="7" t="n">
        <v>24.4633</v>
      </c>
      <c r="W20" s="7" t="n">
        <v>24.4756</v>
      </c>
      <c r="X20" s="7" t="n">
        <v>24.4913</v>
      </c>
      <c r="Y20" s="7" t="n">
        <v>24.5096</v>
      </c>
      <c r="Z20" s="7" t="n">
        <v>24.5293</v>
      </c>
      <c r="AA20" s="7" t="n">
        <v>24.5492</v>
      </c>
      <c r="AB20" s="7" t="n">
        <v>24.568</v>
      </c>
      <c r="AC20" s="7" t="n">
        <v>24.5846</v>
      </c>
      <c r="AD20" s="7" t="n">
        <v>24.5978</v>
      </c>
      <c r="AE20" s="7" t="n">
        <v>24.607</v>
      </c>
      <c r="AF20" s="7" t="n">
        <v>24.6116</v>
      </c>
      <c r="AG20" s="7" t="n">
        <v>24.6111</v>
      </c>
      <c r="AH20" s="7" t="n">
        <v>24.6058</v>
      </c>
      <c r="AI20" s="7" t="n">
        <v>24.5959</v>
      </c>
      <c r="AJ20" s="7" t="n">
        <v>24.582</v>
      </c>
      <c r="AK20" s="7" t="n">
        <v>24.565</v>
      </c>
      <c r="AL20" s="7" t="n">
        <v>24.5459</v>
      </c>
      <c r="AM20" s="7" t="n">
        <v>24.526</v>
      </c>
      <c r="AN20" s="7" t="n">
        <v>24.5064</v>
      </c>
      <c r="AO20" s="7" t="n">
        <v>24.4885</v>
      </c>
      <c r="AP20" s="7" t="n">
        <v>24.4732</v>
      </c>
      <c r="AQ20" s="7" t="n">
        <v>24.4616</v>
      </c>
      <c r="AR20" s="7" t="n">
        <v>24.4544</v>
      </c>
      <c r="AS20" s="7" t="n">
        <v>24.452</v>
      </c>
      <c r="AT20" s="7" t="n">
        <v>24.4546</v>
      </c>
      <c r="AU20" s="7" t="n">
        <v>24.462</v>
      </c>
      <c r="AV20" s="7" t="n">
        <v>24.4737</v>
      </c>
      <c r="AW20" s="7" t="n">
        <v>24.4891</v>
      </c>
      <c r="AX20" s="7" t="n">
        <v>24.5071</v>
      </c>
      <c r="AY20" s="7" t="n">
        <v>24.5267</v>
      </c>
      <c r="AZ20" s="7" t="n">
        <v>24.5466</v>
      </c>
      <c r="BA20" s="7" t="n">
        <v>24.5656</v>
      </c>
      <c r="BB20" s="7" t="n">
        <v>24.5825</v>
      </c>
      <c r="BC20" s="7" t="n">
        <v>24.5963</v>
      </c>
      <c r="BD20" s="7">
        <f>AVERAGE(S20:BC20)</f>
        <v/>
      </c>
      <c r="BE20" s="7">
        <f>MAX(S20:BC20)-MIN(S20:BC20)</f>
        <v/>
      </c>
      <c r="BF20" s="14" t="n"/>
      <c r="BG20" s="14" t="n"/>
      <c r="BH20" s="14" t="n"/>
      <c r="BI20" s="14" t="n"/>
    </row>
    <row r="21">
      <c r="B21" s="7" t="n">
        <v>9</v>
      </c>
      <c r="C21" s="7" t="n">
        <v/>
      </c>
      <c r="D21" s="7" t="n">
        <v>24.5905</v>
      </c>
      <c r="E21" s="7" t="n">
        <v>24.6033</v>
      </c>
      <c r="F21" s="7" t="n">
        <v>24.6119</v>
      </c>
      <c r="G21" s="7" t="n">
        <v>24.6158</v>
      </c>
      <c r="H21" s="7" t="n">
        <v>24.6147</v>
      </c>
      <c r="I21" s="7" t="n">
        <v>24.6087</v>
      </c>
      <c r="J21" s="7" t="n">
        <v>24.5982</v>
      </c>
      <c r="K21" s="7" t="n">
        <v>24.5839</v>
      </c>
      <c r="L21" s="7" t="n">
        <v>24.5665</v>
      </c>
      <c r="M21" s="7" t="n">
        <v>24.5473</v>
      </c>
      <c r="N21" s="7" t="n">
        <v>24.5273</v>
      </c>
      <c r="O21" s="7" t="n">
        <v>24.5079</v>
      </c>
      <c r="P21" s="7" t="n">
        <v>24.4903</v>
      </c>
      <c r="Q21" s="7" t="n">
        <v>24.4755</v>
      </c>
      <c r="R21" s="7" t="n">
        <v>24.4644</v>
      </c>
      <c r="S21" s="7" t="n">
        <v>24.4578</v>
      </c>
      <c r="T21" s="7" t="n">
        <v>24.4561</v>
      </c>
      <c r="U21" s="7" t="n">
        <v>24.4593</v>
      </c>
      <c r="V21" s="7" t="n">
        <v>24.4673</v>
      </c>
      <c r="W21" s="7" t="n">
        <v>24.4796</v>
      </c>
      <c r="X21" s="7" t="n">
        <v>24.4953</v>
      </c>
      <c r="Y21" s="7" t="n">
        <v>24.5136</v>
      </c>
      <c r="Z21" s="7" t="n">
        <v>24.5333</v>
      </c>
      <c r="AA21" s="7" t="n">
        <v>24.5532</v>
      </c>
      <c r="AB21" s="7" t="n">
        <v>24.572</v>
      </c>
      <c r="AC21" s="7" t="n">
        <v>24.5886</v>
      </c>
      <c r="AD21" s="7" t="n">
        <v>24.6018</v>
      </c>
      <c r="AE21" s="7" t="n">
        <v>24.611</v>
      </c>
      <c r="AF21" s="7" t="n">
        <v>24.6156</v>
      </c>
      <c r="AG21" s="7" t="n">
        <v>24.6151</v>
      </c>
      <c r="AH21" s="7" t="n">
        <v>24.6098</v>
      </c>
      <c r="AI21" s="7" t="n">
        <v>24.5999</v>
      </c>
      <c r="AJ21" s="7" t="n">
        <v>24.586</v>
      </c>
      <c r="AK21" s="7" t="n">
        <v>24.569</v>
      </c>
      <c r="AL21" s="7" t="n">
        <v>24.5499</v>
      </c>
      <c r="AM21" s="7" t="n">
        <v>24.53</v>
      </c>
      <c r="AN21" s="7" t="n">
        <v>24.5104</v>
      </c>
      <c r="AO21" s="7" t="n">
        <v>24.4925</v>
      </c>
      <c r="AP21" s="7" t="n">
        <v>24.4772</v>
      </c>
      <c r="AQ21" s="7" t="n">
        <v>24.4656</v>
      </c>
      <c r="AR21" s="7" t="n">
        <v>24.4584</v>
      </c>
      <c r="AS21" s="7" t="n">
        <v>24.456</v>
      </c>
      <c r="AT21" s="7" t="n">
        <v>24.4586</v>
      </c>
      <c r="AU21" s="7" t="n">
        <v>24.466</v>
      </c>
      <c r="AV21" s="7" t="n">
        <v>24.4777</v>
      </c>
      <c r="AW21" s="7" t="n">
        <v>24.4931</v>
      </c>
      <c r="AX21" s="7" t="n">
        <v>24.5111</v>
      </c>
      <c r="AY21" s="7" t="n">
        <v>24.5307</v>
      </c>
      <c r="AZ21" s="7" t="n">
        <v>24.5506</v>
      </c>
      <c r="BA21" s="7" t="n">
        <v>24.5696</v>
      </c>
      <c r="BB21" s="7" t="n">
        <v>24.5865</v>
      </c>
      <c r="BC21" s="7" t="n">
        <v>24.6003</v>
      </c>
      <c r="BD21" s="7">
        <f>AVERAGE(S21:BC21)</f>
        <v/>
      </c>
      <c r="BE21" s="7">
        <f>MAX(S21:BC21)-MIN(S21:BC21)</f>
        <v/>
      </c>
      <c r="BF21" s="14" t="n"/>
      <c r="BG21" s="14" t="n"/>
      <c r="BH21" s="14" t="n"/>
      <c r="BI21" s="14" t="n"/>
    </row>
    <row r="22">
      <c r="B22" s="7" t="n">
        <v>10</v>
      </c>
      <c r="C22" s="7" t="n">
        <v/>
      </c>
      <c r="D22" s="7" t="n">
        <v>24.5945</v>
      </c>
      <c r="E22" s="7" t="n">
        <v>24.6073</v>
      </c>
      <c r="F22" s="7" t="n">
        <v>24.6159</v>
      </c>
      <c r="G22" s="7" t="n">
        <v>24.6198</v>
      </c>
      <c r="H22" s="7" t="n">
        <v>24.6187</v>
      </c>
      <c r="I22" s="7" t="n">
        <v>24.6127</v>
      </c>
      <c r="J22" s="7" t="n">
        <v>24.6022</v>
      </c>
      <c r="K22" s="7" t="n">
        <v>24.5879</v>
      </c>
      <c r="L22" s="7" t="n">
        <v>24.5705</v>
      </c>
      <c r="M22" s="7" t="n">
        <v>24.5513</v>
      </c>
      <c r="N22" s="7" t="n">
        <v>24.5313</v>
      </c>
      <c r="O22" s="7" t="n">
        <v>24.5119</v>
      </c>
      <c r="P22" s="7" t="n">
        <v>24.4943</v>
      </c>
      <c r="Q22" s="7" t="n">
        <v>24.4795</v>
      </c>
      <c r="R22" s="7" t="n">
        <v>24.4684</v>
      </c>
      <c r="S22" s="7" t="n">
        <v>24.4618</v>
      </c>
      <c r="T22" s="7" t="n">
        <v>24.4601</v>
      </c>
      <c r="U22" s="7" t="n">
        <v>24.4633</v>
      </c>
      <c r="V22" s="7" t="n">
        <v>24.4713</v>
      </c>
      <c r="W22" s="7" t="n">
        <v>24.4836</v>
      </c>
      <c r="X22" s="7" t="n">
        <v>24.4993</v>
      </c>
      <c r="Y22" s="7" t="n">
        <v>24.5176</v>
      </c>
      <c r="Z22" s="7" t="n">
        <v>24.5373</v>
      </c>
      <c r="AA22" s="7" t="n">
        <v>24.5572</v>
      </c>
      <c r="AB22" s="7" t="n">
        <v>24.576</v>
      </c>
      <c r="AC22" s="7" t="n">
        <v>24.5926</v>
      </c>
      <c r="AD22" s="7" t="n">
        <v>24.6058</v>
      </c>
      <c r="AE22" s="7" t="n">
        <v>24.615</v>
      </c>
      <c r="AF22" s="7" t="n">
        <v>24.6196</v>
      </c>
      <c r="AG22" s="7" t="n">
        <v>24.6191</v>
      </c>
      <c r="AH22" s="7" t="n">
        <v>24.6138</v>
      </c>
      <c r="AI22" s="7" t="n">
        <v>24.6039</v>
      </c>
      <c r="AJ22" s="7" t="n">
        <v>24.59</v>
      </c>
      <c r="AK22" s="7" t="n">
        <v>24.573</v>
      </c>
      <c r="AL22" s="7" t="n">
        <v>24.5539</v>
      </c>
      <c r="AM22" s="7" t="n">
        <v>24.534</v>
      </c>
      <c r="AN22" s="7" t="n">
        <v>24.5144</v>
      </c>
      <c r="AO22" s="7" t="n">
        <v>24.4965</v>
      </c>
      <c r="AP22" s="7" t="n">
        <v>24.4812</v>
      </c>
      <c r="AQ22" s="7" t="n">
        <v>24.4696</v>
      </c>
      <c r="AR22" s="7" t="n">
        <v>24.4624</v>
      </c>
      <c r="AS22" s="7" t="n">
        <v>24.46</v>
      </c>
      <c r="AT22" s="7" t="n">
        <v>24.4626</v>
      </c>
      <c r="AU22" s="7" t="n">
        <v>24.47</v>
      </c>
      <c r="AV22" s="7" t="n">
        <v>24.4817</v>
      </c>
      <c r="AW22" s="7" t="n">
        <v>24.4971</v>
      </c>
      <c r="AX22" s="7" t="n">
        <v>24.5151</v>
      </c>
      <c r="AY22" s="7" t="n">
        <v>24.5347</v>
      </c>
      <c r="AZ22" s="7" t="n">
        <v>24.5546</v>
      </c>
      <c r="BA22" s="7" t="n">
        <v>24.5736</v>
      </c>
      <c r="BB22" s="7" t="n">
        <v>24.5905</v>
      </c>
      <c r="BC22" s="7" t="n">
        <v>24.6043</v>
      </c>
      <c r="BD22" s="7">
        <f>AVERAGE(S22:BC22)</f>
        <v/>
      </c>
      <c r="BE22" s="7">
        <f>MAX(S22:BC22)-MIN(S22:BC22)</f>
        <v/>
      </c>
      <c r="BF22" s="14" t="n"/>
      <c r="BG22" s="14" t="n"/>
      <c r="BH22" s="14" t="n"/>
      <c r="BI22" s="14" t="n"/>
    </row>
    <row r="23">
      <c r="BC23" s="8" t="inlineStr">
        <is>
          <t>Run Average</t>
        </is>
      </c>
      <c r="BD23" s="7">
        <f>AVERAGE(BD18:BD22)</f>
        <v/>
      </c>
      <c r="BF23" s="14" t="n"/>
      <c r="BG23" s="14" t="n"/>
      <c r="BH23" s="14" t="n"/>
      <c r="BI23" s="14" t="n"/>
    </row>
    <row r="24">
      <c r="BF24" s="14" t="n"/>
      <c r="BG24" s="14" t="n"/>
      <c r="BH24" s="14" t="n"/>
      <c r="BI24" s="14" t="n"/>
    </row>
    <row r="25">
      <c r="B25" s="15" t="inlineStr">
        <is>
          <t>Group 3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6" t="n"/>
      <c r="BF25" s="14" t="n"/>
      <c r="BG25" s="14" t="n"/>
      <c r="BH25" s="14" t="n"/>
      <c r="BI25" s="14" t="n"/>
    </row>
    <row r="26">
      <c r="B26" s="6" t="inlineStr">
        <is>
          <t>Measurement</t>
        </is>
      </c>
      <c r="C26" s="6" t="inlineStr">
        <is>
          <t>Measurement</t>
        </is>
      </c>
      <c r="D26" s="6" t="inlineStr">
        <is>
          <t>Measurement</t>
        </is>
      </c>
      <c r="E26" s="6" t="inlineStr">
        <is>
          <t>Measurement</t>
        </is>
      </c>
      <c r="F26" s="6" t="inlineStr">
        <is>
          <t>Measurement</t>
        </is>
      </c>
      <c r="G26" s="6" t="inlineStr">
        <is>
          <t>Measurement</t>
        </is>
      </c>
      <c r="H26" s="6" t="inlineStr">
        <is>
          <t>Measurement</t>
        </is>
      </c>
      <c r="I26" s="6" t="inlineStr">
        <is>
          <t>Measurement</t>
        </is>
      </c>
      <c r="J26" s="6" t="inlineStr">
        <is>
          <t>Measurement</t>
        </is>
      </c>
      <c r="K26" s="6" t="inlineStr">
        <is>
          <t>Measurement</t>
        </is>
      </c>
      <c r="L26" s="6" t="inlineStr">
        <is>
          <t>Measurement</t>
        </is>
      </c>
      <c r="M26" s="6" t="inlineStr">
        <is>
          <t>Measurement</t>
        </is>
      </c>
      <c r="N26" s="6" t="inlineStr">
        <is>
          <t>Measurement</t>
        </is>
      </c>
      <c r="O26" s="6" t="inlineStr">
        <is>
          <t>Measurement</t>
        </is>
      </c>
      <c r="P26" s="6" t="inlineStr">
        <is>
          <t>Measurement</t>
        </is>
      </c>
      <c r="Q26" s="6" t="inlineStr">
        <is>
          <t>Measurement</t>
        </is>
      </c>
      <c r="R26" s="6" t="inlineStr">
        <is>
          <t>Measurement</t>
        </is>
      </c>
      <c r="S26" s="6" t="inlineStr">
        <is>
          <t>Measurement</t>
        </is>
      </c>
      <c r="T26" s="6" t="inlineStr">
        <is>
          <t>Measurement</t>
        </is>
      </c>
      <c r="U26" s="6" t="inlineStr">
        <is>
          <t>Measurement</t>
        </is>
      </c>
      <c r="V26" s="6" t="inlineStr">
        <is>
          <t>Measurement</t>
        </is>
      </c>
      <c r="W26" s="6" t="inlineStr">
        <is>
          <t>Measurement</t>
        </is>
      </c>
      <c r="X26" s="6" t="inlineStr">
        <is>
          <t>Measurement</t>
        </is>
      </c>
      <c r="Y26" s="6" t="inlineStr">
        <is>
          <t>Measurement</t>
        </is>
      </c>
      <c r="Z26" s="6" t="inlineStr">
        <is>
          <t>Measurement</t>
        </is>
      </c>
      <c r="AA26" s="6" t="inlineStr">
        <is>
          <t>Measurement</t>
        </is>
      </c>
      <c r="AB26" s="6" t="inlineStr">
        <is>
          <t>Measurement</t>
        </is>
      </c>
      <c r="AC26" s="6" t="inlineStr">
        <is>
          <t>Measurement</t>
        </is>
      </c>
      <c r="AD26" s="6" t="inlineStr">
        <is>
          <t>Measurement</t>
        </is>
      </c>
      <c r="AE26" s="6" t="inlineStr">
        <is>
          <t>Measurement</t>
        </is>
      </c>
      <c r="AF26" s="6" t="inlineStr">
        <is>
          <t>Measurement</t>
        </is>
      </c>
      <c r="AG26" s="6" t="inlineStr">
        <is>
          <t>Measurement</t>
        </is>
      </c>
      <c r="AH26" s="6" t="inlineStr">
        <is>
          <t>Measurement</t>
        </is>
      </c>
      <c r="AI26" s="6" t="inlineStr">
        <is>
          <t>Measurement</t>
        </is>
      </c>
      <c r="AJ26" s="6" t="inlineStr">
        <is>
          <t>Measurement</t>
        </is>
      </c>
      <c r="AK26" s="6" t="inlineStr">
        <is>
          <t>Measurement</t>
        </is>
      </c>
      <c r="AL26" s="6" t="inlineStr">
        <is>
          <t>Measurement</t>
        </is>
      </c>
      <c r="AM26" s="6" t="inlineStr">
        <is>
          <t>Measurement</t>
        </is>
      </c>
      <c r="AN26" s="6" t="inlineStr">
        <is>
          <t>Measurement</t>
        </is>
      </c>
      <c r="AO26" s="6" t="inlineStr">
        <is>
          <t>Measurement</t>
        </is>
      </c>
      <c r="AP26" s="6" t="inlineStr">
        <is>
          <t>Measurement</t>
        </is>
      </c>
      <c r="AQ26" s="6" t="inlineStr">
        <is>
          <t>Measurement</t>
        </is>
      </c>
      <c r="AR26" s="6" t="inlineStr">
        <is>
          <t>Measurement</t>
        </is>
      </c>
      <c r="AS26" s="6" t="inlineStr">
        <is>
          <t>Measurement</t>
        </is>
      </c>
      <c r="AT26" s="6" t="inlineStr">
        <is>
          <t>Measurement</t>
        </is>
      </c>
      <c r="AU26" s="6" t="inlineStr">
        <is>
          <t>Measurement</t>
        </is>
      </c>
      <c r="AV26" s="6" t="inlineStr">
        <is>
          <t>Measurement</t>
        </is>
      </c>
      <c r="AW26" s="6" t="inlineStr">
        <is>
          <t>Measurement</t>
        </is>
      </c>
      <c r="AX26" s="6" t="inlineStr">
        <is>
          <t>Measurement</t>
        </is>
      </c>
      <c r="AY26" s="6" t="inlineStr">
        <is>
          <t>Measurement</t>
        </is>
      </c>
      <c r="AZ26" s="6" t="inlineStr">
        <is>
          <t>Measurement</t>
        </is>
      </c>
      <c r="BA26" s="6" t="inlineStr">
        <is>
          <t>Measurement</t>
        </is>
      </c>
      <c r="BB26" s="6" t="inlineStr">
        <is>
          <t>Measurement</t>
        </is>
      </c>
      <c r="BC26" s="6" t="inlineStr">
        <is>
          <t>Measurement</t>
        </is>
      </c>
      <c r="BD26" s="6" t="inlineStr"/>
      <c r="BE26" s="6" t="inlineStr"/>
      <c r="BF26" s="14" t="n"/>
      <c r="BG26" s="14" t="n"/>
      <c r="BH26" s="14" t="n"/>
      <c r="BI26" s="14" t="n"/>
    </row>
    <row r="27">
      <c r="B27" s="9" t="n"/>
      <c r="C27" s="9" t="n"/>
      <c r="D27" s="6" t="inlineStr">
        <is>
          <t>Site 3</t>
        </is>
      </c>
      <c r="E27" s="6" t="inlineStr">
        <is>
          <t>Site 4</t>
        </is>
      </c>
      <c r="F27" s="6" t="inlineStr">
        <is>
          <t>Site 5</t>
        </is>
      </c>
      <c r="G27" s="6" t="inlineStr">
        <is>
          <t>Site 6</t>
        </is>
      </c>
      <c r="H27" s="6" t="inlineStr">
        <is>
          <t>Site 7</t>
        </is>
      </c>
      <c r="I27" s="6" t="inlineStr">
        <is>
          <t>Site 8</t>
        </is>
      </c>
      <c r="J27" s="6" t="inlineStr">
        <is>
          <t>Site 9</t>
        </is>
      </c>
      <c r="K27" s="6" t="inlineStr">
        <is>
          <t>Site 10</t>
        </is>
      </c>
      <c r="L27" s="6" t="inlineStr">
        <is>
          <t>Site 11</t>
        </is>
      </c>
      <c r="M27" s="6" t="inlineStr">
        <is>
          <t>Site 12</t>
        </is>
      </c>
      <c r="N27" s="6" t="inlineStr">
        <is>
          <t>Site 13</t>
        </is>
      </c>
      <c r="O27" s="6" t="inlineStr">
        <is>
          <t>Site 14</t>
        </is>
      </c>
      <c r="P27" s="6" t="inlineStr">
        <is>
          <t>Site 15</t>
        </is>
      </c>
      <c r="Q27" s="6" t="inlineStr">
        <is>
          <t>Site 16</t>
        </is>
      </c>
      <c r="R27" s="6" t="inlineStr">
        <is>
          <t>Site 17</t>
        </is>
      </c>
      <c r="S27" s="6" t="inlineStr">
        <is>
          <t>Site 18</t>
        </is>
      </c>
      <c r="T27" s="6" t="inlineStr">
        <is>
          <t>Site 19</t>
        </is>
      </c>
      <c r="U27" s="6" t="inlineStr">
        <is>
          <t>Site 20</t>
        </is>
      </c>
      <c r="V27" s="6" t="inlineStr">
        <is>
          <t>Site 21</t>
        </is>
      </c>
      <c r="W27" s="6" t="inlineStr">
        <is>
          <t>Site 22</t>
        </is>
      </c>
      <c r="X27" s="6" t="inlineStr">
        <is>
          <t>Site 23</t>
        </is>
      </c>
      <c r="Y27" s="6" t="inlineStr">
        <is>
          <t>Site 24</t>
        </is>
      </c>
      <c r="Z27" s="6" t="inlineStr">
        <is>
          <t>Site 25</t>
        </is>
      </c>
      <c r="AA27" s="6" t="inlineStr">
        <is>
          <t>Site 26</t>
        </is>
      </c>
      <c r="AB27" s="6" t="inlineStr">
        <is>
          <t>Site 27</t>
        </is>
      </c>
      <c r="AC27" s="6" t="inlineStr">
        <is>
          <t>Site 28</t>
        </is>
      </c>
      <c r="AD27" s="6" t="inlineStr">
        <is>
          <t>Site 29</t>
        </is>
      </c>
      <c r="AE27" s="6" t="inlineStr">
        <is>
          <t>Site 30</t>
        </is>
      </c>
      <c r="AF27" s="6" t="inlineStr">
        <is>
          <t>Site 31</t>
        </is>
      </c>
      <c r="AG27" s="6" t="inlineStr">
        <is>
          <t>Site 32</t>
        </is>
      </c>
      <c r="AH27" s="6" t="inlineStr">
        <is>
          <t>Site 33</t>
        </is>
      </c>
      <c r="AI27" s="6" t="inlineStr">
        <is>
          <t>Site 34</t>
        </is>
      </c>
      <c r="AJ27" s="6" t="inlineStr">
        <is>
          <t>Site 35</t>
        </is>
      </c>
      <c r="AK27" s="6" t="inlineStr">
        <is>
          <t>Site 36</t>
        </is>
      </c>
      <c r="AL27" s="6" t="inlineStr">
        <is>
          <t>Site 37</t>
        </is>
      </c>
      <c r="AM27" s="6" t="inlineStr">
        <is>
          <t>Site 38</t>
        </is>
      </c>
      <c r="AN27" s="6" t="inlineStr">
        <is>
          <t>Site 39</t>
        </is>
      </c>
      <c r="AO27" s="6" t="inlineStr">
        <is>
          <t>Site 40</t>
        </is>
      </c>
      <c r="AP27" s="6" t="inlineStr">
        <is>
          <t>Site 41</t>
        </is>
      </c>
      <c r="AQ27" s="6" t="inlineStr">
        <is>
          <t>Site 42</t>
        </is>
      </c>
      <c r="AR27" s="6" t="inlineStr">
        <is>
          <t>Site 43</t>
        </is>
      </c>
      <c r="AS27" s="6" t="inlineStr">
        <is>
          <t>Site 44</t>
        </is>
      </c>
      <c r="AT27" s="6" t="inlineStr">
        <is>
          <t>Site 45</t>
        </is>
      </c>
      <c r="AU27" s="6" t="inlineStr">
        <is>
          <t>Site 46</t>
        </is>
      </c>
      <c r="AV27" s="6" t="inlineStr">
        <is>
          <t>Site 47</t>
        </is>
      </c>
      <c r="AW27" s="6" t="inlineStr">
        <is>
          <t>Site 48</t>
        </is>
      </c>
      <c r="AX27" s="6" t="inlineStr">
        <is>
          <t>Site 49</t>
        </is>
      </c>
      <c r="AY27" s="6" t="inlineStr">
        <is>
          <t>Site 50</t>
        </is>
      </c>
      <c r="AZ27" s="6" t="inlineStr">
        <is>
          <t>Site 51</t>
        </is>
      </c>
      <c r="BA27" s="6" t="inlineStr">
        <is>
          <t>Site 52</t>
        </is>
      </c>
      <c r="BB27" s="6" t="inlineStr">
        <is>
          <t>Site 53</t>
        </is>
      </c>
      <c r="BC27" s="6" t="inlineStr">
        <is>
          <t>Site 54</t>
        </is>
      </c>
      <c r="BD27" s="6" t="inlineStr"/>
      <c r="BE27" s="6" t="inlineStr"/>
      <c r="BF27" s="14" t="n"/>
      <c r="BG27" s="14" t="n"/>
      <c r="BH27" s="14" t="n"/>
      <c r="BI27" s="14" t="n"/>
    </row>
    <row r="28">
      <c r="B28" s="10" t="n"/>
      <c r="C28" s="10" t="n"/>
      <c r="D28" s="6" t="inlineStr">
        <is>
          <t>%</t>
        </is>
      </c>
      <c r="E28" s="6" t="inlineStr">
        <is>
          <t>%</t>
        </is>
      </c>
      <c r="F28" s="6" t="inlineStr">
        <is>
          <t>%</t>
        </is>
      </c>
      <c r="G28" s="6" t="inlineStr">
        <is>
          <t>%</t>
        </is>
      </c>
      <c r="H28" s="6" t="inlineStr">
        <is>
          <t>%</t>
        </is>
      </c>
      <c r="I28" s="6" t="inlineStr">
        <is>
          <t>%</t>
        </is>
      </c>
      <c r="J28" s="6" t="inlineStr">
        <is>
          <t>%</t>
        </is>
      </c>
      <c r="K28" s="6" t="inlineStr">
        <is>
          <t>%</t>
        </is>
      </c>
      <c r="L28" s="6" t="inlineStr">
        <is>
          <t>%</t>
        </is>
      </c>
      <c r="M28" s="6" t="inlineStr">
        <is>
          <t>%</t>
        </is>
      </c>
      <c r="N28" s="6" t="inlineStr">
        <is>
          <t>%</t>
        </is>
      </c>
      <c r="O28" s="6" t="inlineStr">
        <is>
          <t>%</t>
        </is>
      </c>
      <c r="P28" s="6" t="inlineStr">
        <is>
          <t>%</t>
        </is>
      </c>
      <c r="Q28" s="6" t="inlineStr">
        <is>
          <t>%</t>
        </is>
      </c>
      <c r="R28" s="6" t="inlineStr">
        <is>
          <t>%</t>
        </is>
      </c>
      <c r="S28" s="6" t="inlineStr">
        <is>
          <t>%</t>
        </is>
      </c>
      <c r="T28" s="6" t="inlineStr">
        <is>
          <t>%</t>
        </is>
      </c>
      <c r="U28" s="6" t="inlineStr">
        <is>
          <t>%</t>
        </is>
      </c>
      <c r="V28" s="6" t="inlineStr">
        <is>
          <t>%</t>
        </is>
      </c>
      <c r="W28" s="6" t="inlineStr">
        <is>
          <t>%</t>
        </is>
      </c>
      <c r="X28" s="6" t="inlineStr">
        <is>
          <t>%</t>
        </is>
      </c>
      <c r="Y28" s="6" t="inlineStr">
        <is>
          <t>%</t>
        </is>
      </c>
      <c r="Z28" s="6" t="inlineStr">
        <is>
          <t>%</t>
        </is>
      </c>
      <c r="AA28" s="6" t="inlineStr">
        <is>
          <t>%</t>
        </is>
      </c>
      <c r="AB28" s="6" t="inlineStr">
        <is>
          <t>%</t>
        </is>
      </c>
      <c r="AC28" s="6" t="inlineStr">
        <is>
          <t>%</t>
        </is>
      </c>
      <c r="AD28" s="6" t="inlineStr">
        <is>
          <t>%</t>
        </is>
      </c>
      <c r="AE28" s="6" t="inlineStr">
        <is>
          <t>%</t>
        </is>
      </c>
      <c r="AF28" s="6" t="inlineStr">
        <is>
          <t>%</t>
        </is>
      </c>
      <c r="AG28" s="6" t="inlineStr">
        <is>
          <t>%</t>
        </is>
      </c>
      <c r="AH28" s="6" t="inlineStr">
        <is>
          <t>%</t>
        </is>
      </c>
      <c r="AI28" s="6" t="inlineStr">
        <is>
          <t>%</t>
        </is>
      </c>
      <c r="AJ28" s="6" t="inlineStr">
        <is>
          <t>%</t>
        </is>
      </c>
      <c r="AK28" s="6" t="inlineStr">
        <is>
          <t>%</t>
        </is>
      </c>
      <c r="AL28" s="6" t="inlineStr">
        <is>
          <t>%</t>
        </is>
      </c>
      <c r="AM28" s="6" t="inlineStr">
        <is>
          <t>%</t>
        </is>
      </c>
      <c r="AN28" s="6" t="inlineStr">
        <is>
          <t>%</t>
        </is>
      </c>
      <c r="AO28" s="6" t="inlineStr">
        <is>
          <t>%</t>
        </is>
      </c>
      <c r="AP28" s="6" t="inlineStr">
        <is>
          <t>%</t>
        </is>
      </c>
      <c r="AQ28" s="6" t="inlineStr">
        <is>
          <t>%</t>
        </is>
      </c>
      <c r="AR28" s="6" t="inlineStr">
        <is>
          <t>%</t>
        </is>
      </c>
      <c r="AS28" s="6" t="inlineStr">
        <is>
          <t>%</t>
        </is>
      </c>
      <c r="AT28" s="6" t="inlineStr">
        <is>
          <t>%</t>
        </is>
      </c>
      <c r="AU28" s="6" t="inlineStr">
        <is>
          <t>%</t>
        </is>
      </c>
      <c r="AV28" s="6" t="inlineStr">
        <is>
          <t>%</t>
        </is>
      </c>
      <c r="AW28" s="6" t="inlineStr">
        <is>
          <t>%</t>
        </is>
      </c>
      <c r="AX28" s="6" t="inlineStr">
        <is>
          <t>%</t>
        </is>
      </c>
      <c r="AY28" s="6" t="inlineStr">
        <is>
          <t>%</t>
        </is>
      </c>
      <c r="AZ28" s="6" t="inlineStr">
        <is>
          <t>%</t>
        </is>
      </c>
      <c r="BA28" s="6" t="inlineStr">
        <is>
          <t>%</t>
        </is>
      </c>
      <c r="BB28" s="6" t="inlineStr">
        <is>
          <t>%</t>
        </is>
      </c>
      <c r="BC28" s="6" t="inlineStr">
        <is>
          <t>%</t>
        </is>
      </c>
      <c r="BD28" s="6" t="inlineStr">
        <is>
          <t>Wafer Average</t>
        </is>
      </c>
      <c r="BE28" s="6" t="inlineStr">
        <is>
          <t>Wafer Uniformity</t>
        </is>
      </c>
      <c r="BF28" s="14" t="n"/>
      <c r="BG28" s="14" t="n"/>
      <c r="BH28" s="14" t="n"/>
      <c r="BI28" s="14" t="n"/>
    </row>
    <row r="29">
      <c r="B29" s="7" t="n">
        <v>11</v>
      </c>
      <c r="C29" s="7" t="n">
        <v/>
      </c>
      <c r="D29" s="7" t="n">
        <v>24.5985</v>
      </c>
      <c r="E29" s="7" t="n">
        <v>24.6113</v>
      </c>
      <c r="F29" s="7" t="n">
        <v>24.6199</v>
      </c>
      <c r="G29" s="7" t="n">
        <v>24.6238</v>
      </c>
      <c r="H29" s="7" t="n">
        <v>24.6227</v>
      </c>
      <c r="I29" s="7" t="n">
        <v>24.6167</v>
      </c>
      <c r="J29" s="7" t="n">
        <v>24.6062</v>
      </c>
      <c r="K29" s="7" t="n">
        <v>24.5919</v>
      </c>
      <c r="L29" s="7" t="n">
        <v>24.5745</v>
      </c>
      <c r="M29" s="7" t="n">
        <v>24.5553</v>
      </c>
      <c r="N29" s="7" t="n">
        <v>24.5353</v>
      </c>
      <c r="O29" s="7" t="n">
        <v>24.5159</v>
      </c>
      <c r="P29" s="7" t="n">
        <v>24.4983</v>
      </c>
      <c r="Q29" s="7" t="n">
        <v>24.4835</v>
      </c>
      <c r="R29" s="7" t="n">
        <v>24.4724</v>
      </c>
      <c r="S29" s="7" t="n">
        <v>24.4658</v>
      </c>
      <c r="T29" s="7" t="n">
        <v>24.4641</v>
      </c>
      <c r="U29" s="7" t="n">
        <v>24.4673</v>
      </c>
      <c r="V29" s="7" t="n">
        <v>24.4753</v>
      </c>
      <c r="W29" s="7" t="n">
        <v>24.4876</v>
      </c>
      <c r="X29" s="7" t="n">
        <v>24.5033</v>
      </c>
      <c r="Y29" s="7" t="n">
        <v>24.5216</v>
      </c>
      <c r="Z29" s="7" t="n">
        <v>24.5413</v>
      </c>
      <c r="AA29" s="7" t="n">
        <v>24.5612</v>
      </c>
      <c r="AB29" s="7" t="n">
        <v>24.58</v>
      </c>
      <c r="AC29" s="7" t="n">
        <v>24.5966</v>
      </c>
      <c r="AD29" s="7" t="n">
        <v>24.6098</v>
      </c>
      <c r="AE29" s="7" t="n">
        <v>24.619</v>
      </c>
      <c r="AF29" s="7" t="n">
        <v>24.6236</v>
      </c>
      <c r="AG29" s="7" t="n">
        <v>24.6231</v>
      </c>
      <c r="AH29" s="7" t="n">
        <v>24.6178</v>
      </c>
      <c r="AI29" s="7" t="n">
        <v>24.6079</v>
      </c>
      <c r="AJ29" s="7" t="n">
        <v>24.594</v>
      </c>
      <c r="AK29" s="7" t="n">
        <v>24.577</v>
      </c>
      <c r="AL29" s="7" t="n">
        <v>24.5579</v>
      </c>
      <c r="AM29" s="7" t="n">
        <v>24.538</v>
      </c>
      <c r="AN29" s="7" t="n">
        <v>24.5184</v>
      </c>
      <c r="AO29" s="7" t="n">
        <v>24.5005</v>
      </c>
      <c r="AP29" s="7" t="n">
        <v>24.4852</v>
      </c>
      <c r="AQ29" s="7" t="n">
        <v>24.4736</v>
      </c>
      <c r="AR29" s="7" t="n">
        <v>24.4664</v>
      </c>
      <c r="AS29" s="7" t="n">
        <v>24.464</v>
      </c>
      <c r="AT29" s="7" t="n">
        <v>24.4666</v>
      </c>
      <c r="AU29" s="7" t="n">
        <v>24.474</v>
      </c>
      <c r="AV29" s="7" t="n">
        <v>24.4857</v>
      </c>
      <c r="AW29" s="7" t="n">
        <v>24.5011</v>
      </c>
      <c r="AX29" s="7" t="n">
        <v>24.5191</v>
      </c>
      <c r="AY29" s="7" t="n">
        <v>24.5387</v>
      </c>
      <c r="AZ29" s="7" t="n">
        <v>24.5586</v>
      </c>
      <c r="BA29" s="7" t="n">
        <v>24.5776</v>
      </c>
      <c r="BB29" s="7" t="n">
        <v>24.5945</v>
      </c>
      <c r="BC29" s="7" t="n">
        <v>24.6083</v>
      </c>
      <c r="BD29" s="7">
        <f>AVERAGE(S29:BC29)</f>
        <v/>
      </c>
      <c r="BE29" s="7">
        <f>MAX(S29:BC29)-MIN(S29:BC29)</f>
        <v/>
      </c>
      <c r="BF29" s="14" t="n"/>
      <c r="BG29" s="14" t="n"/>
      <c r="BH29" s="14" t="n"/>
      <c r="BI29" s="14" t="n"/>
    </row>
    <row r="30">
      <c r="B30" s="7" t="n">
        <v>12</v>
      </c>
      <c r="C30" s="7" t="n">
        <v/>
      </c>
      <c r="D30" s="7" t="n">
        <v>24.6025</v>
      </c>
      <c r="E30" s="7" t="n">
        <v>24.6153</v>
      </c>
      <c r="F30" s="7" t="n">
        <v>24.6239</v>
      </c>
      <c r="G30" s="7" t="n">
        <v>24.6278</v>
      </c>
      <c r="H30" s="7" t="n">
        <v>24.6267</v>
      </c>
      <c r="I30" s="7" t="n">
        <v>24.6207</v>
      </c>
      <c r="J30" s="7" t="n">
        <v>24.6102</v>
      </c>
      <c r="K30" s="7" t="n">
        <v>24.5959</v>
      </c>
      <c r="L30" s="7" t="n">
        <v>24.5785</v>
      </c>
      <c r="M30" s="7" t="n">
        <v>24.5593</v>
      </c>
      <c r="N30" s="7" t="n">
        <v>24.5393</v>
      </c>
      <c r="O30" s="7" t="n">
        <v>24.5199</v>
      </c>
      <c r="P30" s="7" t="n">
        <v>24.5023</v>
      </c>
      <c r="Q30" s="7" t="n">
        <v>24.4875</v>
      </c>
      <c r="R30" s="7" t="n">
        <v>24.4764</v>
      </c>
      <c r="S30" s="7" t="n">
        <v>24.4698</v>
      </c>
      <c r="T30" s="7" t="n">
        <v>24.4681</v>
      </c>
      <c r="U30" s="7" t="n">
        <v>24.4713</v>
      </c>
      <c r="V30" s="7" t="n">
        <v>24.4793</v>
      </c>
      <c r="W30" s="7" t="n">
        <v>24.4916</v>
      </c>
      <c r="X30" s="7" t="n">
        <v>24.5073</v>
      </c>
      <c r="Y30" s="7" t="n">
        <v>24.5256</v>
      </c>
      <c r="Z30" s="7" t="n">
        <v>24.5453</v>
      </c>
      <c r="AA30" s="7" t="n">
        <v>24.5652</v>
      </c>
      <c r="AB30" s="7" t="n">
        <v>24.584</v>
      </c>
      <c r="AC30" s="7" t="n">
        <v>24.6006</v>
      </c>
      <c r="AD30" s="7" t="n">
        <v>24.6138</v>
      </c>
      <c r="AE30" s="7" t="n">
        <v>24.623</v>
      </c>
      <c r="AF30" s="7" t="n">
        <v>24.6276</v>
      </c>
      <c r="AG30" s="7" t="n">
        <v>24.6271</v>
      </c>
      <c r="AH30" s="7" t="n">
        <v>24.6218</v>
      </c>
      <c r="AI30" s="7" t="n">
        <v>24.6119</v>
      </c>
      <c r="AJ30" s="7" t="n">
        <v>24.598</v>
      </c>
      <c r="AK30" s="7" t="n">
        <v>24.581</v>
      </c>
      <c r="AL30" s="7" t="n">
        <v>24.5619</v>
      </c>
      <c r="AM30" s="7" t="n">
        <v>24.542</v>
      </c>
      <c r="AN30" s="7" t="n">
        <v>24.5224</v>
      </c>
      <c r="AO30" s="7" t="n">
        <v>24.5045</v>
      </c>
      <c r="AP30" s="7" t="n">
        <v>24.4892</v>
      </c>
      <c r="AQ30" s="7" t="n">
        <v>24.4776</v>
      </c>
      <c r="AR30" s="7" t="n">
        <v>24.4704</v>
      </c>
      <c r="AS30" s="7" t="n">
        <v>24.468</v>
      </c>
      <c r="AT30" s="7" t="n">
        <v>24.4706</v>
      </c>
      <c r="AU30" s="7" t="n">
        <v>24.478</v>
      </c>
      <c r="AV30" s="7" t="n">
        <v>24.4897</v>
      </c>
      <c r="AW30" s="7" t="n">
        <v>24.5051</v>
      </c>
      <c r="AX30" s="7" t="n">
        <v>24.5231</v>
      </c>
      <c r="AY30" s="7" t="n">
        <v>24.5427</v>
      </c>
      <c r="AZ30" s="7" t="n">
        <v>24.5626</v>
      </c>
      <c r="BA30" s="7" t="n">
        <v>24.5816</v>
      </c>
      <c r="BB30" s="7" t="n">
        <v>24.5985</v>
      </c>
      <c r="BC30" s="7" t="n">
        <v>24.6123</v>
      </c>
      <c r="BD30" s="7">
        <f>AVERAGE(S30:BC30)</f>
        <v/>
      </c>
      <c r="BE30" s="7">
        <f>MAX(S30:BC30)-MIN(S30:BC30)</f>
        <v/>
      </c>
      <c r="BF30" s="14" t="n"/>
      <c r="BG30" s="14" t="n"/>
      <c r="BH30" s="14" t="n"/>
      <c r="BI30" s="14" t="n"/>
    </row>
    <row r="31">
      <c r="B31" s="7" t="n">
        <v>13</v>
      </c>
      <c r="C31" s="7" t="n">
        <v/>
      </c>
      <c r="D31" s="7" t="n">
        <v>24.6065</v>
      </c>
      <c r="E31" s="7" t="n">
        <v>24.6193</v>
      </c>
      <c r="F31" s="7" t="n">
        <v>24.6279</v>
      </c>
      <c r="G31" s="7" t="n">
        <v>24.6318</v>
      </c>
      <c r="H31" s="7" t="n">
        <v>24.6307</v>
      </c>
      <c r="I31" s="7" t="n">
        <v>24.6247</v>
      </c>
      <c r="J31" s="7" t="n">
        <v>24.6142</v>
      </c>
      <c r="K31" s="7" t="n">
        <v>24.5999</v>
      </c>
      <c r="L31" s="7" t="n">
        <v>24.5825</v>
      </c>
      <c r="M31" s="7" t="n">
        <v>24.5633</v>
      </c>
      <c r="N31" s="7" t="n">
        <v>24.5433</v>
      </c>
      <c r="O31" s="7" t="n">
        <v>24.5239</v>
      </c>
      <c r="P31" s="7" t="n">
        <v>24.5063</v>
      </c>
      <c r="Q31" s="7" t="n">
        <v>24.4915</v>
      </c>
      <c r="R31" s="7" t="n">
        <v>24.4804</v>
      </c>
      <c r="S31" s="7" t="n">
        <v>24.4738</v>
      </c>
      <c r="T31" s="7" t="n">
        <v>24.4721</v>
      </c>
      <c r="U31" s="7" t="n">
        <v>24.4753</v>
      </c>
      <c r="V31" s="7" t="n">
        <v>24.4833</v>
      </c>
      <c r="W31" s="7" t="n">
        <v>24.4956</v>
      </c>
      <c r="X31" s="7" t="n">
        <v>24.5113</v>
      </c>
      <c r="Y31" s="7" t="n">
        <v>24.5296</v>
      </c>
      <c r="Z31" s="7" t="n">
        <v>24.5493</v>
      </c>
      <c r="AA31" s="7" t="n">
        <v>24.5692</v>
      </c>
      <c r="AB31" s="7" t="n">
        <v>24.588</v>
      </c>
      <c r="AC31" s="7" t="n">
        <v>24.6046</v>
      </c>
      <c r="AD31" s="7" t="n">
        <v>24.6178</v>
      </c>
      <c r="AE31" s="7" t="n">
        <v>24.627</v>
      </c>
      <c r="AF31" s="7" t="n">
        <v>24.6316</v>
      </c>
      <c r="AG31" s="7" t="n">
        <v>24.6311</v>
      </c>
      <c r="AH31" s="7" t="n">
        <v>24.6258</v>
      </c>
      <c r="AI31" s="7" t="n">
        <v>24.6159</v>
      </c>
      <c r="AJ31" s="7" t="n">
        <v>24.602</v>
      </c>
      <c r="AK31" s="7" t="n">
        <v>24.585</v>
      </c>
      <c r="AL31" s="7" t="n">
        <v>24.5659</v>
      </c>
      <c r="AM31" s="7" t="n">
        <v>24.546</v>
      </c>
      <c r="AN31" s="7" t="n">
        <v>24.5264</v>
      </c>
      <c r="AO31" s="7" t="n">
        <v>24.5085</v>
      </c>
      <c r="AP31" s="7" t="n">
        <v>24.4932</v>
      </c>
      <c r="AQ31" s="7" t="n">
        <v>24.4816</v>
      </c>
      <c r="AR31" s="7" t="n">
        <v>24.4744</v>
      </c>
      <c r="AS31" s="7" t="n">
        <v>24.472</v>
      </c>
      <c r="AT31" s="7" t="n">
        <v>24.4746</v>
      </c>
      <c r="AU31" s="7" t="n">
        <v>24.482</v>
      </c>
      <c r="AV31" s="7" t="n">
        <v>24.4937</v>
      </c>
      <c r="AW31" s="7" t="n">
        <v>24.5091</v>
      </c>
      <c r="AX31" s="7" t="n">
        <v>24.5271</v>
      </c>
      <c r="AY31" s="7" t="n">
        <v>24.5467</v>
      </c>
      <c r="AZ31" s="7" t="n">
        <v>24.5666</v>
      </c>
      <c r="BA31" s="7" t="n">
        <v>24.5856</v>
      </c>
      <c r="BB31" s="7" t="n">
        <v>24.6025</v>
      </c>
      <c r="BC31" s="7" t="n">
        <v>24.6163</v>
      </c>
      <c r="BD31" s="7">
        <f>AVERAGE(S31:BC31)</f>
        <v/>
      </c>
      <c r="BE31" s="7">
        <f>MAX(S31:BC31)-MIN(S31:BC31)</f>
        <v/>
      </c>
      <c r="BF31" s="14" t="n"/>
      <c r="BG31" s="14" t="n"/>
      <c r="BH31" s="14" t="n"/>
      <c r="BI31" s="14" t="n"/>
    </row>
    <row r="32">
      <c r="B32" s="7" t="n">
        <v>14</v>
      </c>
      <c r="C32" s="7" t="n">
        <v/>
      </c>
      <c r="D32" s="7" t="n">
        <v>24.6105</v>
      </c>
      <c r="E32" s="7" t="n">
        <v>24.6233</v>
      </c>
      <c r="F32" s="7" t="n">
        <v>24.6319</v>
      </c>
      <c r="G32" s="7" t="n">
        <v>24.6358</v>
      </c>
      <c r="H32" s="7" t="n">
        <v>24.6347</v>
      </c>
      <c r="I32" s="7" t="n">
        <v>24.6287</v>
      </c>
      <c r="J32" s="7" t="n">
        <v>24.6182</v>
      </c>
      <c r="K32" s="7" t="n">
        <v>24.6039</v>
      </c>
      <c r="L32" s="7" t="n">
        <v>24.5865</v>
      </c>
      <c r="M32" s="7" t="n">
        <v>24.5673</v>
      </c>
      <c r="N32" s="7" t="n">
        <v>24.5473</v>
      </c>
      <c r="O32" s="7" t="n">
        <v>24.5279</v>
      </c>
      <c r="P32" s="7" t="n">
        <v>24.5103</v>
      </c>
      <c r="Q32" s="7" t="n">
        <v>24.4955</v>
      </c>
      <c r="R32" s="7" t="n">
        <v>24.4844</v>
      </c>
      <c r="S32" s="7" t="n">
        <v>24.4778</v>
      </c>
      <c r="T32" s="7" t="n">
        <v>24.4761</v>
      </c>
      <c r="U32" s="7" t="n">
        <v>24.4793</v>
      </c>
      <c r="V32" s="7" t="n">
        <v>24.4873</v>
      </c>
      <c r="W32" s="7" t="n">
        <v>24.4996</v>
      </c>
      <c r="X32" s="7" t="n">
        <v>24.5153</v>
      </c>
      <c r="Y32" s="7" t="n">
        <v>24.5336</v>
      </c>
      <c r="Z32" s="7" t="n">
        <v>24.5533</v>
      </c>
      <c r="AA32" s="7" t="n">
        <v>24.5732</v>
      </c>
      <c r="AB32" s="7" t="n">
        <v>24.592</v>
      </c>
      <c r="AC32" s="7" t="n">
        <v>24.6086</v>
      </c>
      <c r="AD32" s="7" t="n">
        <v>24.6218</v>
      </c>
      <c r="AE32" s="7" t="n">
        <v>24.631</v>
      </c>
      <c r="AF32" s="7" t="n">
        <v>24.6356</v>
      </c>
      <c r="AG32" s="7" t="n">
        <v>24.6351</v>
      </c>
      <c r="AH32" s="7" t="n">
        <v>24.6298</v>
      </c>
      <c r="AI32" s="7" t="n">
        <v>24.6199</v>
      </c>
      <c r="AJ32" s="7" t="n">
        <v>24.606</v>
      </c>
      <c r="AK32" s="7" t="n">
        <v>24.589</v>
      </c>
      <c r="AL32" s="7" t="n">
        <v>24.5699</v>
      </c>
      <c r="AM32" s="7" t="n">
        <v>24.55</v>
      </c>
      <c r="AN32" s="7" t="n">
        <v>24.5304</v>
      </c>
      <c r="AO32" s="7" t="n">
        <v>24.5125</v>
      </c>
      <c r="AP32" s="7" t="n">
        <v>24.4972</v>
      </c>
      <c r="AQ32" s="7" t="n">
        <v>24.4856</v>
      </c>
      <c r="AR32" s="7" t="n">
        <v>24.4784</v>
      </c>
      <c r="AS32" s="7" t="n">
        <v>24.476</v>
      </c>
      <c r="AT32" s="7" t="n">
        <v>24.4786</v>
      </c>
      <c r="AU32" s="7" t="n">
        <v>24.486</v>
      </c>
      <c r="AV32" s="7" t="n">
        <v>24.4977</v>
      </c>
      <c r="AW32" s="7" t="n">
        <v>24.5131</v>
      </c>
      <c r="AX32" s="7" t="n">
        <v>24.5311</v>
      </c>
      <c r="AY32" s="7" t="n">
        <v>24.5507</v>
      </c>
      <c r="AZ32" s="7" t="n">
        <v>24.5706</v>
      </c>
      <c r="BA32" s="7" t="n">
        <v>24.5896</v>
      </c>
      <c r="BB32" s="7" t="n">
        <v>24.6065</v>
      </c>
      <c r="BC32" s="7" t="n">
        <v>24.6203</v>
      </c>
      <c r="BD32" s="7">
        <f>AVERAGE(S32:BC32)</f>
        <v/>
      </c>
      <c r="BE32" s="7">
        <f>MAX(S32:BC32)-MIN(S32:BC32)</f>
        <v/>
      </c>
      <c r="BF32" s="14" t="n"/>
      <c r="BG32" s="14" t="n"/>
      <c r="BH32" s="14" t="n"/>
      <c r="BI32" s="14" t="n"/>
    </row>
    <row r="33">
      <c r="B33" s="7" t="n">
        <v>15</v>
      </c>
      <c r="C33" s="7" t="n">
        <v/>
      </c>
      <c r="D33" s="7" t="n">
        <v>24.6145</v>
      </c>
      <c r="E33" s="7" t="n">
        <v>24.6273</v>
      </c>
      <c r="F33" s="7" t="n">
        <v>24.6359</v>
      </c>
      <c r="G33" s="7" t="n">
        <v>24.6398</v>
      </c>
      <c r="H33" s="7" t="n">
        <v>24.6387</v>
      </c>
      <c r="I33" s="7" t="n">
        <v>24.6327</v>
      </c>
      <c r="J33" s="7" t="n">
        <v>24.6222</v>
      </c>
      <c r="K33" s="7" t="n">
        <v>24.6079</v>
      </c>
      <c r="L33" s="7" t="n">
        <v>24.5905</v>
      </c>
      <c r="M33" s="7" t="n">
        <v>24.5713</v>
      </c>
      <c r="N33" s="7" t="n">
        <v>24.5513</v>
      </c>
      <c r="O33" s="7" t="n">
        <v>24.5319</v>
      </c>
      <c r="P33" s="7" t="n">
        <v>24.5143</v>
      </c>
      <c r="Q33" s="7" t="n">
        <v>24.4995</v>
      </c>
      <c r="R33" s="7" t="n">
        <v>24.4884</v>
      </c>
      <c r="S33" s="7" t="n">
        <v>24.4818</v>
      </c>
      <c r="T33" s="7" t="n">
        <v>24.4801</v>
      </c>
      <c r="U33" s="7" t="n">
        <v>24.4833</v>
      </c>
      <c r="V33" s="7" t="n">
        <v>24.4913</v>
      </c>
      <c r="W33" s="7" t="n">
        <v>24.5036</v>
      </c>
      <c r="X33" s="7" t="n">
        <v>24.5193</v>
      </c>
      <c r="Y33" s="7" t="n">
        <v>24.5376</v>
      </c>
      <c r="Z33" s="7" t="n">
        <v>24.5573</v>
      </c>
      <c r="AA33" s="7" t="n">
        <v>24.5772</v>
      </c>
      <c r="AB33" s="7" t="n">
        <v>24.596</v>
      </c>
      <c r="AC33" s="7" t="n">
        <v>24.6126</v>
      </c>
      <c r="AD33" s="7" t="n">
        <v>24.6258</v>
      </c>
      <c r="AE33" s="7" t="n">
        <v>24.635</v>
      </c>
      <c r="AF33" s="7" t="n">
        <v>24.6396</v>
      </c>
      <c r="AG33" s="7" t="n">
        <v>24.6391</v>
      </c>
      <c r="AH33" s="7" t="n">
        <v>24.6338</v>
      </c>
      <c r="AI33" s="7" t="n">
        <v>24.6239</v>
      </c>
      <c r="AJ33" s="7" t="n">
        <v>24.61</v>
      </c>
      <c r="AK33" s="7" t="n">
        <v>24.593</v>
      </c>
      <c r="AL33" s="7" t="n">
        <v>24.5739</v>
      </c>
      <c r="AM33" s="7" t="n">
        <v>24.554</v>
      </c>
      <c r="AN33" s="7" t="n">
        <v>24.5344</v>
      </c>
      <c r="AO33" s="7" t="n">
        <v>24.5165</v>
      </c>
      <c r="AP33" s="7" t="n">
        <v>24.5012</v>
      </c>
      <c r="AQ33" s="7" t="n">
        <v>24.4896</v>
      </c>
      <c r="AR33" s="7" t="n">
        <v>24.4824</v>
      </c>
      <c r="AS33" s="7" t="n">
        <v>24.48</v>
      </c>
      <c r="AT33" s="7" t="n">
        <v>24.4826</v>
      </c>
      <c r="AU33" s="7" t="n">
        <v>24.49</v>
      </c>
      <c r="AV33" s="7" t="n">
        <v>24.5017</v>
      </c>
      <c r="AW33" s="7" t="n">
        <v>24.5171</v>
      </c>
      <c r="AX33" s="7" t="n">
        <v>24.5351</v>
      </c>
      <c r="AY33" s="7" t="n">
        <v>24.5547</v>
      </c>
      <c r="AZ33" s="7" t="n">
        <v>24.5746</v>
      </c>
      <c r="BA33" s="7" t="n">
        <v>24.5936</v>
      </c>
      <c r="BB33" s="7" t="n">
        <v>24.6105</v>
      </c>
      <c r="BC33" s="7" t="n">
        <v>24.6243</v>
      </c>
      <c r="BD33" s="7">
        <f>AVERAGE(S33:BC33)</f>
        <v/>
      </c>
      <c r="BE33" s="7">
        <f>MAX(S33:BC33)-MIN(S33:BC33)</f>
        <v/>
      </c>
      <c r="BF33" s="14" t="n"/>
      <c r="BG33" s="14" t="n"/>
      <c r="BH33" s="14" t="n"/>
      <c r="BI33" s="14" t="n"/>
    </row>
    <row r="34">
      <c r="BC34" s="8" t="inlineStr">
        <is>
          <t>Run Average</t>
        </is>
      </c>
      <c r="BD34" s="7">
        <f>AVERAGE(BD29:BD33)</f>
        <v/>
      </c>
      <c r="BF34" s="14" t="n"/>
      <c r="BG34" s="14" t="n"/>
      <c r="BH34" s="14" t="n"/>
      <c r="BI34" s="14" t="n"/>
    </row>
  </sheetData>
  <mergeCells count="11">
    <mergeCell ref="BG7:BI7"/>
    <mergeCell ref="C15:C17"/>
    <mergeCell ref="B4:B6"/>
    <mergeCell ref="B26:B28"/>
    <mergeCell ref="B25:BE25"/>
    <mergeCell ref="B3:BE3"/>
    <mergeCell ref="B15:B17"/>
    <mergeCell ref="B14:BE14"/>
    <mergeCell ref="BG3:BI3"/>
    <mergeCell ref="C4:C6"/>
    <mergeCell ref="C26:C28"/>
  </mergeCells>
  <conditionalFormatting sqref="BD7:BD11">
    <cfRule type="expression" priority="1" dxfId="0" stopIfTrue="1">
      <formula>=AND(ISNUMBER($BD7),$BD7&gt;=$BG$5,$BD7&lt;=$BI$5)</formula>
    </cfRule>
    <cfRule type="expression" priority="2" dxfId="1" stopIfTrue="1">
      <formula>=AND(ISNUMBER($BD7),OR($BD7&lt;$BG$5,$BD7&gt;$BI$5))</formula>
    </cfRule>
  </conditionalFormatting>
  <conditionalFormatting sqref="BE7:BE11">
    <cfRule type="expression" priority="3" dxfId="0" stopIfTrue="1">
      <formula>=AND(ISNUMBER($BE7),$BE7&lt;=$BG$9)</formula>
    </cfRule>
    <cfRule type="expression" priority="4" dxfId="1" stopIfTrue="1">
      <formula>=AND(ISNUMBER($BE7),$BE7&gt;$BG$9)</formula>
    </cfRule>
  </conditionalFormatting>
  <conditionalFormatting sqref="BD12">
    <cfRule type="expression" priority="5" dxfId="0" stopIfTrue="1">
      <formula>=AND(ISNUMBER($BD12),$BD12&gt;=$BG$5,$BD12&lt;=$BI$5)</formula>
    </cfRule>
    <cfRule type="expression" priority="6" dxfId="1" stopIfTrue="1">
      <formula>=AND(ISNUMBER($BD12),OR($BD12&lt;$BG$5,$BD12&gt;$BI$5))</formula>
    </cfRule>
  </conditionalFormatting>
  <conditionalFormatting sqref="BD18:BD22">
    <cfRule type="expression" priority="7" dxfId="0" stopIfTrue="1">
      <formula>=AND(ISNUMBER($BD18),$BD18&gt;=$BG$5,$BD18&lt;=$BI$5)</formula>
    </cfRule>
    <cfRule type="expression" priority="8" dxfId="1" stopIfTrue="1">
      <formula>=AND(ISNUMBER($BD18),OR($BD18&lt;$BG$5,$BD18&gt;$BI$5))</formula>
    </cfRule>
  </conditionalFormatting>
  <conditionalFormatting sqref="BE18:BE22">
    <cfRule type="expression" priority="9" dxfId="0" stopIfTrue="1">
      <formula>=AND(ISNUMBER($BE18),$BE18&lt;=$BG$9)</formula>
    </cfRule>
    <cfRule type="expression" priority="10" dxfId="1" stopIfTrue="1">
      <formula>=AND(ISNUMBER($BE18),$BE18&gt;$BG$9)</formula>
    </cfRule>
  </conditionalFormatting>
  <conditionalFormatting sqref="BD23">
    <cfRule type="expression" priority="11" dxfId="0" stopIfTrue="1">
      <formula>=AND(ISNUMBER($BD23),$BD23&gt;=$BG$5,$BD23&lt;=$BI$5)</formula>
    </cfRule>
    <cfRule type="expression" priority="12" dxfId="1" stopIfTrue="1">
      <formula>=AND(ISNUMBER($BD23),OR($BD23&lt;$BG$5,$BD23&gt;$BI$5))</formula>
    </cfRule>
  </conditionalFormatting>
  <conditionalFormatting sqref="BD29:BD33">
    <cfRule type="expression" priority="13" dxfId="0" stopIfTrue="1">
      <formula>=AND(ISNUMBER($BD29),$BD29&gt;=$BG$5,$BD29&lt;=$BI$5)</formula>
    </cfRule>
    <cfRule type="expression" priority="14" dxfId="1" stopIfTrue="1">
      <formula>=AND(ISNUMBER($BD29),OR($BD29&lt;$BG$5,$BD29&gt;$BI$5))</formula>
    </cfRule>
  </conditionalFormatting>
  <conditionalFormatting sqref="BE29:BE33">
    <cfRule type="expression" priority="15" dxfId="0" stopIfTrue="1">
      <formula>=AND(ISNUMBER($BE29),$BE29&lt;=$BG$9)</formula>
    </cfRule>
    <cfRule type="expression" priority="16" dxfId="1" stopIfTrue="1">
      <formula>=AND(ISNUMBER($BE29),$BE29&gt;$BG$9)</formula>
    </cfRule>
  </conditionalFormatting>
  <conditionalFormatting sqref="BD34">
    <cfRule type="expression" priority="17" dxfId="0" stopIfTrue="1">
      <formula>=AND(ISNUMBER($BD34),$BD34&gt;=$BG$5,$BD34&lt;=$BI$5)</formula>
    </cfRule>
    <cfRule type="expression" priority="18" dxfId="1" stopIfTrue="1">
      <formula>=AND(ISNUMBER($BD34),OR($BD34&lt;$BG$5,$BD34&gt;$BI$5))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M78"/>
  <sheetViews>
    <sheetView workbookViewId="0">
      <selection activeCell="A1" sqref="A1"/>
    </sheetView>
  </sheetViews>
  <sheetFormatPr baseColWidth="8" defaultRowHeight="15"/>
  <cols>
    <col width="2" customWidth="1" min="1" max="1"/>
    <col width="16.44" customWidth="1" min="2" max="2"/>
    <col width="16.44" customWidth="1" min="3" max="3"/>
    <col width="16.44" customWidth="1" min="4" max="4"/>
    <col width="16.44" customWidth="1" min="5" max="5"/>
    <col width="16.44" customWidth="1" min="6" max="6"/>
    <col width="16.44" customWidth="1" min="7" max="7"/>
    <col width="16.44" customWidth="1" min="8" max="8"/>
    <col width="16.44" customWidth="1" min="9" max="9"/>
    <col width="10" customWidth="1" min="11" max="11"/>
    <col width="10" customWidth="1" min="12" max="12"/>
    <col width="10" customWidth="1" min="13" max="13"/>
  </cols>
  <sheetData>
    <row r="3">
      <c r="C3" s="6" t="inlineStr">
        <is>
          <t>Slot No.</t>
        </is>
      </c>
      <c r="D3" s="6" t="inlineStr">
        <is>
          <t>Coordinate</t>
        </is>
      </c>
      <c r="E3" s="6" t="inlineStr">
        <is>
          <t>Barrier Thickness</t>
        </is>
      </c>
      <c r="F3" s="6" t="inlineStr">
        <is>
          <t>Wafer Average</t>
        </is>
      </c>
      <c r="G3" s="6" t="inlineStr">
        <is>
          <t>Run Average</t>
        </is>
      </c>
      <c r="H3" s="6" t="inlineStr">
        <is>
          <t>WW Uniformity</t>
        </is>
      </c>
      <c r="I3" s="6" t="inlineStr">
        <is>
          <t>W-W Uniformity</t>
        </is>
      </c>
      <c r="K3" s="2" t="inlineStr">
        <is>
          <t>SPECs (nm)</t>
        </is>
      </c>
      <c r="L3" s="4" t="n"/>
      <c r="M3" s="5" t="n"/>
    </row>
    <row r="4">
      <c r="B4" s="13" t="inlineStr">
        <is>
          <t>V3103</t>
        </is>
      </c>
      <c r="C4" s="7" t="n">
        <v>1</v>
      </c>
      <c r="D4" s="7" t="n">
        <v>0</v>
      </c>
      <c r="E4" s="7" t="n">
        <v>26.53</v>
      </c>
      <c r="F4" s="7">
        <f>AVERAGE(E4:E8)</f>
        <v/>
      </c>
      <c r="G4" s="7">
        <f>AVERAGE(F4:F24)</f>
        <v/>
      </c>
      <c r="H4" s="7">
        <f>MAX(E4:E8)-MIN(E4:E8)</f>
        <v/>
      </c>
      <c r="I4" s="7">
        <f>MAX(F4:F24)-MIN(F4:F24)</f>
        <v/>
      </c>
      <c r="K4" s="6" t="inlineStr">
        <is>
          <t>Min</t>
        </is>
      </c>
      <c r="L4" s="6" t="inlineStr">
        <is>
          <t>Target</t>
        </is>
      </c>
      <c r="M4" s="6" t="inlineStr">
        <is>
          <t>Max</t>
        </is>
      </c>
    </row>
    <row r="5">
      <c r="B5" s="13" t="n"/>
      <c r="C5" s="7" t="n">
        <v>1</v>
      </c>
      <c r="D5" s="7" t="n">
        <v>23.13</v>
      </c>
      <c r="E5" s="7" t="n">
        <v>26.6983</v>
      </c>
      <c r="F5" s="7" t="n"/>
      <c r="G5" s="7" t="n"/>
      <c r="H5" s="7" t="n"/>
      <c r="I5" s="7" t="n"/>
      <c r="K5" s="7" t="n">
        <v>80.34</v>
      </c>
      <c r="L5" s="7" t="n">
        <v>88.44</v>
      </c>
      <c r="M5" s="7" t="n">
        <v>96.54000000000001</v>
      </c>
    </row>
    <row r="6">
      <c r="B6" s="13" t="n"/>
      <c r="C6" s="7" t="n">
        <v>1</v>
      </c>
      <c r="D6" s="7" t="n">
        <v>46.25</v>
      </c>
      <c r="E6" s="7" t="n">
        <v>26.7119</v>
      </c>
      <c r="F6" s="7" t="n"/>
      <c r="G6" s="7" t="n"/>
      <c r="H6" s="7" t="n"/>
      <c r="I6" s="7" t="n"/>
    </row>
    <row r="7">
      <c r="B7" s="13" t="n"/>
      <c r="C7" s="7" t="n">
        <v>1</v>
      </c>
      <c r="D7" s="7" t="n">
        <v>69.38</v>
      </c>
      <c r="E7" s="7" t="n">
        <v>26.5582</v>
      </c>
      <c r="F7" s="7" t="n"/>
      <c r="G7" s="7" t="n"/>
      <c r="H7" s="7" t="n"/>
      <c r="I7" s="7" t="n"/>
      <c r="K7" s="2" t="inlineStr">
        <is>
          <t>SPECs of Max-Min (nm)</t>
        </is>
      </c>
      <c r="L7" s="4" t="n"/>
      <c r="M7" s="5" t="n"/>
    </row>
    <row r="8">
      <c r="B8" s="13" t="n"/>
      <c r="C8" s="7" t="n">
        <v>1</v>
      </c>
      <c r="D8" s="7" t="n">
        <v>92</v>
      </c>
      <c r="E8" s="7" t="n">
        <v>26.3786</v>
      </c>
      <c r="F8" s="7" t="n"/>
      <c r="G8" s="7" t="n"/>
      <c r="H8" s="7" t="n"/>
      <c r="I8" s="7" t="n"/>
      <c r="K8" s="6" t="inlineStr">
        <is>
          <t>WW</t>
        </is>
      </c>
      <c r="L8" s="6" t="inlineStr">
        <is>
          <t>W-2-W</t>
        </is>
      </c>
      <c r="M8" s="6" t="inlineStr">
        <is>
          <t>R-2-R</t>
        </is>
      </c>
    </row>
    <row r="9">
      <c r="C9" s="7" t="n">
        <v>2</v>
      </c>
      <c r="D9" s="7" t="n">
        <v>0</v>
      </c>
      <c r="E9" s="7" t="n">
        <v>26.56</v>
      </c>
      <c r="F9" s="7">
        <f>AVERAGE(E9:E13)</f>
        <v/>
      </c>
      <c r="G9" s="7" t="n"/>
      <c r="H9" s="7">
        <f>MAX(E9:E13)-MIN(E9:E13)</f>
        <v/>
      </c>
      <c r="I9" s="7" t="n"/>
      <c r="K9" s="7" t="n">
        <v>1.885</v>
      </c>
      <c r="L9" s="7" t="inlineStr">
        <is>
          <t>-</t>
        </is>
      </c>
      <c r="M9" s="7" t="inlineStr">
        <is>
          <t>-</t>
        </is>
      </c>
    </row>
    <row r="10">
      <c r="C10" s="7" t="n">
        <v>2</v>
      </c>
      <c r="D10" s="7" t="n">
        <v>23.13</v>
      </c>
      <c r="E10" s="7" t="n">
        <v>26.7283</v>
      </c>
      <c r="F10" s="7" t="n"/>
      <c r="G10" s="7" t="n"/>
      <c r="H10" s="7" t="n"/>
      <c r="I10" s="7" t="n"/>
    </row>
    <row r="11">
      <c r="C11" s="7" t="n">
        <v>2</v>
      </c>
      <c r="D11" s="7" t="n">
        <v>46.25</v>
      </c>
      <c r="E11" s="7" t="n">
        <v>26.7419</v>
      </c>
      <c r="F11" s="7" t="n"/>
      <c r="G11" s="7" t="n"/>
      <c r="H11" s="7" t="n"/>
      <c r="I11" s="7" t="n"/>
    </row>
    <row r="12">
      <c r="C12" s="7" t="n">
        <v>2</v>
      </c>
      <c r="D12" s="7" t="n">
        <v>69.38</v>
      </c>
      <c r="E12" s="7" t="n">
        <v>26.5882</v>
      </c>
      <c r="F12" s="7" t="n"/>
      <c r="G12" s="7" t="n"/>
      <c r="H12" s="7" t="n"/>
      <c r="I12" s="7" t="n"/>
    </row>
    <row r="13">
      <c r="C13" s="7" t="n">
        <v>2</v>
      </c>
      <c r="D13" s="7" t="n">
        <v>92</v>
      </c>
      <c r="E13" s="7" t="n">
        <v>26.4086</v>
      </c>
      <c r="F13" s="7" t="n"/>
      <c r="G13" s="7" t="n"/>
      <c r="H13" s="7" t="n"/>
      <c r="I13" s="7" t="n"/>
    </row>
    <row r="14">
      <c r="C14" s="7" t="n">
        <v>3</v>
      </c>
      <c r="D14" s="7" t="n">
        <v>0</v>
      </c>
      <c r="E14" s="7" t="n">
        <v>26.59</v>
      </c>
      <c r="F14" s="7">
        <f>AVERAGE(E14:E18)</f>
        <v/>
      </c>
      <c r="G14" s="7" t="n"/>
      <c r="H14" s="7">
        <f>MAX(E14:E18)-MIN(E14:E18)</f>
        <v/>
      </c>
      <c r="I14" s="7" t="n"/>
    </row>
    <row r="15">
      <c r="C15" s="7" t="n">
        <v>3</v>
      </c>
      <c r="D15" s="7" t="n">
        <v>23.13</v>
      </c>
      <c r="E15" s="7" t="n">
        <v>26.7583</v>
      </c>
      <c r="F15" s="7" t="n"/>
      <c r="G15" s="7" t="n"/>
      <c r="H15" s="7" t="n"/>
      <c r="I15" s="7" t="n"/>
    </row>
    <row r="16">
      <c r="C16" s="7" t="n">
        <v>3</v>
      </c>
      <c r="D16" s="7" t="n">
        <v>46.25</v>
      </c>
      <c r="E16" s="7" t="n">
        <v>26.7719</v>
      </c>
      <c r="F16" s="7" t="n"/>
      <c r="G16" s="7" t="n"/>
      <c r="H16" s="7" t="n"/>
      <c r="I16" s="7" t="n"/>
    </row>
    <row r="17">
      <c r="C17" s="7" t="n">
        <v>3</v>
      </c>
      <c r="D17" s="7" t="n">
        <v>69.38</v>
      </c>
      <c r="E17" s="7" t="n">
        <v>26.6182</v>
      </c>
      <c r="F17" s="7" t="n"/>
      <c r="G17" s="7" t="n"/>
      <c r="H17" s="7" t="n"/>
      <c r="I17" s="7" t="n"/>
    </row>
    <row r="18">
      <c r="C18" s="7" t="n">
        <v>3</v>
      </c>
      <c r="D18" s="7" t="n">
        <v>92</v>
      </c>
      <c r="E18" s="7" t="n">
        <v>26.4386</v>
      </c>
      <c r="F18" s="7" t="n"/>
      <c r="G18" s="7" t="n"/>
      <c r="H18" s="7" t="n"/>
      <c r="I18" s="7" t="n"/>
    </row>
    <row r="19">
      <c r="C19" s="7" t="n">
        <v>4</v>
      </c>
      <c r="D19" s="7" t="n">
        <v>0</v>
      </c>
      <c r="E19" s="7" t="n">
        <v>26.62</v>
      </c>
      <c r="F19" s="7">
        <f>AVERAGE(E19:E23)</f>
        <v/>
      </c>
      <c r="G19" s="7" t="n"/>
      <c r="H19" s="7">
        <f>MAX(E19:E23)-MIN(E19:E23)</f>
        <v/>
      </c>
      <c r="I19" s="7" t="n"/>
    </row>
    <row r="20">
      <c r="C20" s="7" t="n">
        <v>4</v>
      </c>
      <c r="D20" s="7" t="n">
        <v>23.13</v>
      </c>
      <c r="E20" s="7" t="n">
        <v>26.7883</v>
      </c>
      <c r="F20" s="7" t="n"/>
      <c r="G20" s="7" t="n"/>
      <c r="H20" s="7" t="n"/>
      <c r="I20" s="7" t="n"/>
    </row>
    <row r="21">
      <c r="C21" s="7" t="n">
        <v>4</v>
      </c>
      <c r="D21" s="7" t="n">
        <v>46.25</v>
      </c>
      <c r="E21" s="7" t="n">
        <v>26.8019</v>
      </c>
      <c r="F21" s="7" t="n"/>
      <c r="G21" s="7" t="n"/>
      <c r="H21" s="7" t="n"/>
      <c r="I21" s="7" t="n"/>
    </row>
    <row r="22">
      <c r="C22" s="7" t="n">
        <v>4</v>
      </c>
      <c r="D22" s="7" t="n">
        <v>69.38</v>
      </c>
      <c r="E22" s="7" t="n">
        <v>26.6482</v>
      </c>
      <c r="F22" s="7" t="n"/>
      <c r="G22" s="7" t="n"/>
      <c r="H22" s="7" t="n"/>
      <c r="I22" s="7" t="n"/>
    </row>
    <row r="23">
      <c r="C23" s="7" t="n">
        <v>4</v>
      </c>
      <c r="D23" s="7" t="n">
        <v>92</v>
      </c>
      <c r="E23" s="7" t="n">
        <v>26.4686</v>
      </c>
      <c r="F23" s="7" t="n"/>
      <c r="G23" s="7" t="n"/>
      <c r="H23" s="7" t="n"/>
      <c r="I23" s="7" t="n"/>
    </row>
    <row r="24">
      <c r="C24" s="7" t="n">
        <v>5</v>
      </c>
      <c r="D24" s="7" t="n">
        <v>0</v>
      </c>
      <c r="E24" s="7" t="n">
        <v>26.65</v>
      </c>
      <c r="F24" s="7">
        <f>AVERAGE(E24:E28)</f>
        <v/>
      </c>
      <c r="G24" s="7" t="n"/>
      <c r="H24" s="7">
        <f>MAX(E24:E28)-MIN(E24:E28)</f>
        <v/>
      </c>
      <c r="I24" s="7" t="n"/>
    </row>
    <row r="25">
      <c r="C25" s="7" t="n">
        <v>5</v>
      </c>
      <c r="D25" s="7" t="n">
        <v>23.13</v>
      </c>
      <c r="E25" s="7" t="n">
        <v>26.8183</v>
      </c>
      <c r="F25" s="7" t="n"/>
      <c r="G25" s="7" t="n"/>
      <c r="H25" s="7" t="n"/>
      <c r="I25" s="7" t="n"/>
    </row>
    <row r="26">
      <c r="C26" s="7" t="n">
        <v>5</v>
      </c>
      <c r="D26" s="7" t="n">
        <v>46.25</v>
      </c>
      <c r="E26" s="7" t="n">
        <v>26.8319</v>
      </c>
      <c r="F26" s="7" t="n"/>
      <c r="G26" s="7" t="n"/>
      <c r="H26" s="7" t="n"/>
      <c r="I26" s="7" t="n"/>
    </row>
    <row r="27">
      <c r="C27" s="7" t="n">
        <v>5</v>
      </c>
      <c r="D27" s="7" t="n">
        <v>69.38</v>
      </c>
      <c r="E27" s="7" t="n">
        <v>26.6782</v>
      </c>
      <c r="F27" s="7" t="n"/>
      <c r="G27" s="7" t="n"/>
      <c r="H27" s="7" t="n"/>
      <c r="I27" s="7" t="n"/>
    </row>
    <row r="28">
      <c r="C28" s="7" t="n">
        <v>5</v>
      </c>
      <c r="D28" s="7" t="n">
        <v>92</v>
      </c>
      <c r="E28" s="7" t="n">
        <v>26.4986</v>
      </c>
      <c r="F28" s="7" t="n"/>
      <c r="G28" s="7" t="n"/>
      <c r="H28" s="7" t="n"/>
      <c r="I28" s="7" t="n"/>
    </row>
    <row r="29">
      <c r="B29" s="13" t="inlineStr">
        <is>
          <t>V3103</t>
        </is>
      </c>
      <c r="C29" s="7" t="n">
        <v>1</v>
      </c>
      <c r="D29" s="7" t="n">
        <v>0</v>
      </c>
      <c r="E29" s="7" t="n">
        <v>26.53</v>
      </c>
      <c r="F29" s="7">
        <f>AVERAGE(E29:E33)</f>
        <v/>
      </c>
      <c r="G29" s="7">
        <f>AVERAGE(F29:F49)</f>
        <v/>
      </c>
      <c r="H29" s="7">
        <f>MAX(E29:E33)-MIN(E29:E33)</f>
        <v/>
      </c>
      <c r="I29" s="7">
        <f>MAX(F29:F49)-MIN(F29:F49)</f>
        <v/>
      </c>
    </row>
    <row r="30">
      <c r="B30" s="13" t="n"/>
      <c r="C30" s="7" t="n">
        <v>1</v>
      </c>
      <c r="D30" s="7" t="n">
        <v>23.13</v>
      </c>
      <c r="E30" s="7" t="n">
        <v>26.6983</v>
      </c>
      <c r="F30" s="7" t="n"/>
      <c r="G30" s="7" t="n"/>
      <c r="H30" s="7" t="n"/>
      <c r="I30" s="7" t="n"/>
    </row>
    <row r="31">
      <c r="B31" s="13" t="n"/>
      <c r="C31" s="7" t="n">
        <v>1</v>
      </c>
      <c r="D31" s="7" t="n">
        <v>46.25</v>
      </c>
      <c r="E31" s="7" t="n">
        <v>26.7119</v>
      </c>
      <c r="F31" s="7" t="n"/>
      <c r="G31" s="7" t="n"/>
      <c r="H31" s="7" t="n"/>
      <c r="I31" s="7" t="n"/>
    </row>
    <row r="32">
      <c r="B32" s="13" t="n"/>
      <c r="C32" s="7" t="n">
        <v>1</v>
      </c>
      <c r="D32" s="7" t="n">
        <v>69.38</v>
      </c>
      <c r="E32" s="7" t="n">
        <v>26.5582</v>
      </c>
      <c r="F32" s="7" t="n"/>
      <c r="G32" s="7" t="n"/>
      <c r="H32" s="7" t="n"/>
      <c r="I32" s="7" t="n"/>
    </row>
    <row r="33">
      <c r="B33" s="13" t="n"/>
      <c r="C33" s="7" t="n">
        <v>1</v>
      </c>
      <c r="D33" s="7" t="n">
        <v>92</v>
      </c>
      <c r="E33" s="7" t="n">
        <v>26.3786</v>
      </c>
      <c r="F33" s="7" t="n"/>
      <c r="G33" s="7" t="n"/>
      <c r="H33" s="7" t="n"/>
      <c r="I33" s="7" t="n"/>
    </row>
    <row r="34">
      <c r="C34" s="7" t="n">
        <v>2</v>
      </c>
      <c r="D34" s="7" t="n">
        <v>0</v>
      </c>
      <c r="E34" s="7" t="n">
        <v>26.56</v>
      </c>
      <c r="F34" s="7">
        <f>AVERAGE(E34:E38)</f>
        <v/>
      </c>
      <c r="G34" s="7" t="n"/>
      <c r="H34" s="7">
        <f>MAX(E34:E38)-MIN(E34:E38)</f>
        <v/>
      </c>
      <c r="I34" s="7" t="n"/>
    </row>
    <row r="35">
      <c r="C35" s="7" t="n">
        <v>2</v>
      </c>
      <c r="D35" s="7" t="n">
        <v>23.13</v>
      </c>
      <c r="E35" s="7" t="n">
        <v>26.7283</v>
      </c>
      <c r="F35" s="7" t="n"/>
      <c r="G35" s="7" t="n"/>
      <c r="H35" s="7" t="n"/>
      <c r="I35" s="7" t="n"/>
    </row>
    <row r="36">
      <c r="C36" s="7" t="n">
        <v>2</v>
      </c>
      <c r="D36" s="7" t="n">
        <v>46.25</v>
      </c>
      <c r="E36" s="7" t="n">
        <v>26.7419</v>
      </c>
      <c r="F36" s="7" t="n"/>
      <c r="G36" s="7" t="n"/>
      <c r="H36" s="7" t="n"/>
      <c r="I36" s="7" t="n"/>
    </row>
    <row r="37">
      <c r="C37" s="7" t="n">
        <v>2</v>
      </c>
      <c r="D37" s="7" t="n">
        <v>69.38</v>
      </c>
      <c r="E37" s="7" t="n">
        <v>26.5882</v>
      </c>
      <c r="F37" s="7" t="n"/>
      <c r="G37" s="7" t="n"/>
      <c r="H37" s="7" t="n"/>
      <c r="I37" s="7" t="n"/>
    </row>
    <row r="38">
      <c r="C38" s="7" t="n">
        <v>2</v>
      </c>
      <c r="D38" s="7" t="n">
        <v>92</v>
      </c>
      <c r="E38" s="7" t="n">
        <v>26.4086</v>
      </c>
      <c r="F38" s="7" t="n"/>
      <c r="G38" s="7" t="n"/>
      <c r="H38" s="7" t="n"/>
      <c r="I38" s="7" t="n"/>
    </row>
    <row r="39">
      <c r="C39" s="7" t="n">
        <v>3</v>
      </c>
      <c r="D39" s="7" t="n">
        <v>0</v>
      </c>
      <c r="E39" s="7" t="n">
        <v>26.59</v>
      </c>
      <c r="F39" s="7">
        <f>AVERAGE(E39:E43)</f>
        <v/>
      </c>
      <c r="G39" s="7" t="n"/>
      <c r="H39" s="7">
        <f>MAX(E39:E43)-MIN(E39:E43)</f>
        <v/>
      </c>
      <c r="I39" s="7" t="n"/>
    </row>
    <row r="40">
      <c r="C40" s="7" t="n">
        <v>3</v>
      </c>
      <c r="D40" s="7" t="n">
        <v>23.13</v>
      </c>
      <c r="E40" s="7" t="n">
        <v>26.7583</v>
      </c>
      <c r="F40" s="7" t="n"/>
      <c r="G40" s="7" t="n"/>
      <c r="H40" s="7" t="n"/>
      <c r="I40" s="7" t="n"/>
    </row>
    <row r="41">
      <c r="C41" s="7" t="n">
        <v>3</v>
      </c>
      <c r="D41" s="7" t="n">
        <v>46.25</v>
      </c>
      <c r="E41" s="7" t="n">
        <v>26.7719</v>
      </c>
      <c r="F41" s="7" t="n"/>
      <c r="G41" s="7" t="n"/>
      <c r="H41" s="7" t="n"/>
      <c r="I41" s="7" t="n"/>
    </row>
    <row r="42">
      <c r="C42" s="7" t="n">
        <v>3</v>
      </c>
      <c r="D42" s="7" t="n">
        <v>69.38</v>
      </c>
      <c r="E42" s="7" t="n">
        <v>26.6182</v>
      </c>
      <c r="F42" s="7" t="n"/>
      <c r="G42" s="7" t="n"/>
      <c r="H42" s="7" t="n"/>
      <c r="I42" s="7" t="n"/>
    </row>
    <row r="43">
      <c r="C43" s="7" t="n">
        <v>3</v>
      </c>
      <c r="D43" s="7" t="n">
        <v>92</v>
      </c>
      <c r="E43" s="7" t="n">
        <v>26.4386</v>
      </c>
      <c r="F43" s="7" t="n"/>
      <c r="G43" s="7" t="n"/>
      <c r="H43" s="7" t="n"/>
      <c r="I43" s="7" t="n"/>
    </row>
    <row r="44">
      <c r="C44" s="7" t="n">
        <v>4</v>
      </c>
      <c r="D44" s="7" t="n">
        <v>0</v>
      </c>
      <c r="E44" s="7" t="n">
        <v>26.62</v>
      </c>
      <c r="F44" s="7">
        <f>AVERAGE(E44:E48)</f>
        <v/>
      </c>
      <c r="G44" s="7" t="n"/>
      <c r="H44" s="7">
        <f>MAX(E44:E48)-MIN(E44:E48)</f>
        <v/>
      </c>
      <c r="I44" s="7" t="n"/>
    </row>
    <row r="45">
      <c r="C45" s="7" t="n">
        <v>4</v>
      </c>
      <c r="D45" s="7" t="n">
        <v>23.13</v>
      </c>
      <c r="E45" s="7" t="n">
        <v>26.7883</v>
      </c>
      <c r="F45" s="7" t="n"/>
      <c r="G45" s="7" t="n"/>
      <c r="H45" s="7" t="n"/>
      <c r="I45" s="7" t="n"/>
    </row>
    <row r="46">
      <c r="C46" s="7" t="n">
        <v>4</v>
      </c>
      <c r="D46" s="7" t="n">
        <v>46.25</v>
      </c>
      <c r="E46" s="7" t="n">
        <v>26.8019</v>
      </c>
      <c r="F46" s="7" t="n"/>
      <c r="G46" s="7" t="n"/>
      <c r="H46" s="7" t="n"/>
      <c r="I46" s="7" t="n"/>
    </row>
    <row r="47">
      <c r="C47" s="7" t="n">
        <v>4</v>
      </c>
      <c r="D47" s="7" t="n">
        <v>69.38</v>
      </c>
      <c r="E47" s="7" t="n">
        <v>26.6482</v>
      </c>
      <c r="F47" s="7" t="n"/>
      <c r="G47" s="7" t="n"/>
      <c r="H47" s="7" t="n"/>
      <c r="I47" s="7" t="n"/>
    </row>
    <row r="48">
      <c r="C48" s="7" t="n">
        <v>4</v>
      </c>
      <c r="D48" s="7" t="n">
        <v>92</v>
      </c>
      <c r="E48" s="7" t="n">
        <v>26.4686</v>
      </c>
      <c r="F48" s="7" t="n"/>
      <c r="G48" s="7" t="n"/>
      <c r="H48" s="7" t="n"/>
      <c r="I48" s="7" t="n"/>
    </row>
    <row r="49">
      <c r="C49" s="7" t="n">
        <v>5</v>
      </c>
      <c r="D49" s="7" t="n">
        <v>0</v>
      </c>
      <c r="E49" s="7" t="n">
        <v>26.65</v>
      </c>
      <c r="F49" s="7">
        <f>AVERAGE(E49:E53)</f>
        <v/>
      </c>
      <c r="G49" s="7" t="n"/>
      <c r="H49" s="7">
        <f>MAX(E49:E53)-MIN(E49:E53)</f>
        <v/>
      </c>
      <c r="I49" s="7" t="n"/>
    </row>
    <row r="50">
      <c r="C50" s="7" t="n">
        <v>5</v>
      </c>
      <c r="D50" s="7" t="n">
        <v>23.13</v>
      </c>
      <c r="E50" s="7" t="n">
        <v>26.8183</v>
      </c>
      <c r="F50" s="7" t="n"/>
      <c r="G50" s="7" t="n"/>
      <c r="H50" s="7" t="n"/>
      <c r="I50" s="7" t="n"/>
    </row>
    <row r="51">
      <c r="C51" s="7" t="n">
        <v>5</v>
      </c>
      <c r="D51" s="7" t="n">
        <v>46.25</v>
      </c>
      <c r="E51" s="7" t="n">
        <v>26.8319</v>
      </c>
      <c r="F51" s="7" t="n"/>
      <c r="G51" s="7" t="n"/>
      <c r="H51" s="7" t="n"/>
      <c r="I51" s="7" t="n"/>
    </row>
    <row r="52">
      <c r="C52" s="7" t="n">
        <v>5</v>
      </c>
      <c r="D52" s="7" t="n">
        <v>69.38</v>
      </c>
      <c r="E52" s="7" t="n">
        <v>26.6782</v>
      </c>
      <c r="F52" s="7" t="n"/>
      <c r="G52" s="7" t="n"/>
      <c r="H52" s="7" t="n"/>
      <c r="I52" s="7" t="n"/>
    </row>
    <row r="53">
      <c r="C53" s="7" t="n">
        <v>5</v>
      </c>
      <c r="D53" s="7" t="n">
        <v>92</v>
      </c>
      <c r="E53" s="7" t="n">
        <v>26.4986</v>
      </c>
      <c r="F53" s="7" t="n"/>
      <c r="G53" s="7" t="n"/>
      <c r="H53" s="7" t="n"/>
      <c r="I53" s="7" t="n"/>
    </row>
    <row r="54">
      <c r="B54" s="13" t="inlineStr">
        <is>
          <t>V3103</t>
        </is>
      </c>
      <c r="C54" s="7" t="n">
        <v>1</v>
      </c>
      <c r="D54" s="7" t="n">
        <v>0</v>
      </c>
      <c r="E54" s="7" t="n">
        <v>26.53</v>
      </c>
      <c r="F54" s="7">
        <f>AVERAGE(E54:E58)</f>
        <v/>
      </c>
      <c r="G54" s="7">
        <f>AVERAGE(F54:F74)</f>
        <v/>
      </c>
      <c r="H54" s="7">
        <f>MAX(E54:E58)-MIN(E54:E58)</f>
        <v/>
      </c>
      <c r="I54" s="7">
        <f>MAX(F54:F74)-MIN(F54:F74)</f>
        <v/>
      </c>
    </row>
    <row r="55">
      <c r="B55" s="13" t="n"/>
      <c r="C55" s="7" t="n">
        <v>1</v>
      </c>
      <c r="D55" s="7" t="n">
        <v>23.13</v>
      </c>
      <c r="E55" s="7" t="n">
        <v>26.6983</v>
      </c>
      <c r="F55" s="7" t="n"/>
      <c r="G55" s="7" t="n"/>
      <c r="H55" s="7" t="n"/>
      <c r="I55" s="7" t="n"/>
    </row>
    <row r="56">
      <c r="B56" s="13" t="n"/>
      <c r="C56" s="7" t="n">
        <v>1</v>
      </c>
      <c r="D56" s="7" t="n">
        <v>46.25</v>
      </c>
      <c r="E56" s="7" t="n">
        <v>26.7119</v>
      </c>
      <c r="F56" s="7" t="n"/>
      <c r="G56" s="7" t="n"/>
      <c r="H56" s="7" t="n"/>
      <c r="I56" s="7" t="n"/>
    </row>
    <row r="57">
      <c r="B57" s="13" t="n"/>
      <c r="C57" s="7" t="n">
        <v>1</v>
      </c>
      <c r="D57" s="7" t="n">
        <v>69.38</v>
      </c>
      <c r="E57" s="7" t="n">
        <v>26.5582</v>
      </c>
      <c r="F57" s="7" t="n"/>
      <c r="G57" s="7" t="n"/>
      <c r="H57" s="7" t="n"/>
      <c r="I57" s="7" t="n"/>
    </row>
    <row r="58">
      <c r="B58" s="13" t="n"/>
      <c r="C58" s="7" t="n">
        <v>1</v>
      </c>
      <c r="D58" s="7" t="n">
        <v>92</v>
      </c>
      <c r="E58" s="7" t="n">
        <v>26.3786</v>
      </c>
      <c r="F58" s="7" t="n"/>
      <c r="G58" s="7" t="n"/>
      <c r="H58" s="7" t="n"/>
      <c r="I58" s="7" t="n"/>
    </row>
    <row r="59">
      <c r="C59" s="7" t="n">
        <v>2</v>
      </c>
      <c r="D59" s="7" t="n">
        <v>0</v>
      </c>
      <c r="E59" s="7" t="n">
        <v>26.56</v>
      </c>
      <c r="F59" s="7">
        <f>AVERAGE(E59:E63)</f>
        <v/>
      </c>
      <c r="G59" s="7" t="n"/>
      <c r="H59" s="7">
        <f>MAX(E59:E63)-MIN(E59:E63)</f>
        <v/>
      </c>
      <c r="I59" s="7" t="n"/>
    </row>
    <row r="60">
      <c r="C60" s="7" t="n">
        <v>2</v>
      </c>
      <c r="D60" s="7" t="n">
        <v>23.13</v>
      </c>
      <c r="E60" s="7" t="n">
        <v>26.7283</v>
      </c>
      <c r="F60" s="7" t="n"/>
      <c r="G60" s="7" t="n"/>
      <c r="H60" s="7" t="n"/>
      <c r="I60" s="7" t="n"/>
    </row>
    <row r="61">
      <c r="C61" s="7" t="n">
        <v>2</v>
      </c>
      <c r="D61" s="7" t="n">
        <v>46.25</v>
      </c>
      <c r="E61" s="7" t="n">
        <v>26.7419</v>
      </c>
      <c r="F61" s="7" t="n"/>
      <c r="G61" s="7" t="n"/>
      <c r="H61" s="7" t="n"/>
      <c r="I61" s="7" t="n"/>
    </row>
    <row r="62">
      <c r="C62" s="7" t="n">
        <v>2</v>
      </c>
      <c r="D62" s="7" t="n">
        <v>69.38</v>
      </c>
      <c r="E62" s="7" t="n">
        <v>26.5882</v>
      </c>
      <c r="F62" s="7" t="n"/>
      <c r="G62" s="7" t="n"/>
      <c r="H62" s="7" t="n"/>
      <c r="I62" s="7" t="n"/>
    </row>
    <row r="63">
      <c r="C63" s="7" t="n">
        <v>2</v>
      </c>
      <c r="D63" s="7" t="n">
        <v>92</v>
      </c>
      <c r="E63" s="7" t="n">
        <v>26.4086</v>
      </c>
      <c r="F63" s="7" t="n"/>
      <c r="G63" s="7" t="n"/>
      <c r="H63" s="7" t="n"/>
      <c r="I63" s="7" t="n"/>
    </row>
    <row r="64">
      <c r="C64" s="7" t="n">
        <v>3</v>
      </c>
      <c r="D64" s="7" t="n">
        <v>0</v>
      </c>
      <c r="E64" s="7" t="n">
        <v>26.59</v>
      </c>
      <c r="F64" s="7">
        <f>AVERAGE(E64:E68)</f>
        <v/>
      </c>
      <c r="G64" s="7" t="n"/>
      <c r="H64" s="7">
        <f>MAX(E64:E68)-MIN(E64:E68)</f>
        <v/>
      </c>
      <c r="I64" s="7" t="n"/>
    </row>
    <row r="65">
      <c r="C65" s="7" t="n">
        <v>3</v>
      </c>
      <c r="D65" s="7" t="n">
        <v>23.13</v>
      </c>
      <c r="E65" s="7" t="n">
        <v>26.7583</v>
      </c>
      <c r="F65" s="7" t="n"/>
      <c r="G65" s="7" t="n"/>
      <c r="H65" s="7" t="n"/>
      <c r="I65" s="7" t="n"/>
    </row>
    <row r="66">
      <c r="C66" s="7" t="n">
        <v>3</v>
      </c>
      <c r="D66" s="7" t="n">
        <v>46.25</v>
      </c>
      <c r="E66" s="7" t="n">
        <v>26.7719</v>
      </c>
      <c r="F66" s="7" t="n"/>
      <c r="G66" s="7" t="n"/>
      <c r="H66" s="7" t="n"/>
      <c r="I66" s="7" t="n"/>
    </row>
    <row r="67">
      <c r="C67" s="7" t="n">
        <v>3</v>
      </c>
      <c r="D67" s="7" t="n">
        <v>69.38</v>
      </c>
      <c r="E67" s="7" t="n">
        <v>26.6182</v>
      </c>
      <c r="F67" s="7" t="n"/>
      <c r="G67" s="7" t="n"/>
      <c r="H67" s="7" t="n"/>
      <c r="I67" s="7" t="n"/>
    </row>
    <row r="68">
      <c r="C68" s="7" t="n">
        <v>3</v>
      </c>
      <c r="D68" s="7" t="n">
        <v>92</v>
      </c>
      <c r="E68" s="7" t="n">
        <v>26.4386</v>
      </c>
      <c r="F68" s="7" t="n"/>
      <c r="G68" s="7" t="n"/>
      <c r="H68" s="7" t="n"/>
      <c r="I68" s="7" t="n"/>
    </row>
    <row r="69">
      <c r="C69" s="7" t="n">
        <v>4</v>
      </c>
      <c r="D69" s="7" t="n">
        <v>0</v>
      </c>
      <c r="E69" s="7" t="n">
        <v>26.62</v>
      </c>
      <c r="F69" s="7">
        <f>AVERAGE(E69:E73)</f>
        <v/>
      </c>
      <c r="G69" s="7" t="n"/>
      <c r="H69" s="7">
        <f>MAX(E69:E73)-MIN(E69:E73)</f>
        <v/>
      </c>
      <c r="I69" s="7" t="n"/>
    </row>
    <row r="70">
      <c r="C70" s="7" t="n">
        <v>4</v>
      </c>
      <c r="D70" s="7" t="n">
        <v>23.13</v>
      </c>
      <c r="E70" s="7" t="n">
        <v>26.7883</v>
      </c>
      <c r="F70" s="7" t="n"/>
      <c r="G70" s="7" t="n"/>
      <c r="H70" s="7" t="n"/>
      <c r="I70" s="7" t="n"/>
    </row>
    <row r="71">
      <c r="C71" s="7" t="n">
        <v>4</v>
      </c>
      <c r="D71" s="7" t="n">
        <v>46.25</v>
      </c>
      <c r="E71" s="7" t="n">
        <v>26.8019</v>
      </c>
      <c r="F71" s="7" t="n"/>
      <c r="G71" s="7" t="n"/>
      <c r="H71" s="7" t="n"/>
      <c r="I71" s="7" t="n"/>
    </row>
    <row r="72">
      <c r="C72" s="7" t="n">
        <v>4</v>
      </c>
      <c r="D72" s="7" t="n">
        <v>69.38</v>
      </c>
      <c r="E72" s="7" t="n">
        <v>26.6482</v>
      </c>
      <c r="F72" s="7" t="n"/>
      <c r="G72" s="7" t="n"/>
      <c r="H72" s="7" t="n"/>
      <c r="I72" s="7" t="n"/>
    </row>
    <row r="73">
      <c r="C73" s="7" t="n">
        <v>4</v>
      </c>
      <c r="D73" s="7" t="n">
        <v>92</v>
      </c>
      <c r="E73" s="7" t="n">
        <v>26.4686</v>
      </c>
      <c r="F73" s="7" t="n"/>
      <c r="G73" s="7" t="n"/>
      <c r="H73" s="7" t="n"/>
      <c r="I73" s="7" t="n"/>
    </row>
    <row r="74">
      <c r="C74" s="7" t="n">
        <v>5</v>
      </c>
      <c r="D74" s="7" t="n">
        <v>0</v>
      </c>
      <c r="E74" s="7" t="n">
        <v>26.65</v>
      </c>
      <c r="F74" s="7">
        <f>AVERAGE(E74:E78)</f>
        <v/>
      </c>
      <c r="G74" s="7" t="n"/>
      <c r="H74" s="7">
        <f>MAX(E74:E78)-MIN(E74:E78)</f>
        <v/>
      </c>
      <c r="I74" s="7" t="n"/>
    </row>
    <row r="75">
      <c r="C75" s="7" t="n">
        <v>5</v>
      </c>
      <c r="D75" s="7" t="n">
        <v>23.13</v>
      </c>
      <c r="E75" s="7" t="n">
        <v>26.8183</v>
      </c>
      <c r="F75" s="7" t="n"/>
      <c r="G75" s="7" t="n"/>
      <c r="H75" s="7" t="n"/>
      <c r="I75" s="7" t="n"/>
    </row>
    <row r="76">
      <c r="C76" s="7" t="n">
        <v>5</v>
      </c>
      <c r="D76" s="7" t="n">
        <v>46.25</v>
      </c>
      <c r="E76" s="7" t="n">
        <v>26.8319</v>
      </c>
      <c r="F76" s="7" t="n"/>
      <c r="G76" s="7" t="n"/>
      <c r="H76" s="7" t="n"/>
      <c r="I76" s="7" t="n"/>
    </row>
    <row r="77">
      <c r="C77" s="7" t="n">
        <v>5</v>
      </c>
      <c r="D77" s="7" t="n">
        <v>69.38</v>
      </c>
      <c r="E77" s="7" t="n">
        <v>26.6782</v>
      </c>
      <c r="F77" s="7" t="n"/>
      <c r="G77" s="7" t="n"/>
      <c r="H77" s="7" t="n"/>
      <c r="I77" s="7" t="n"/>
    </row>
    <row r="78">
      <c r="C78" s="7" t="n">
        <v>5</v>
      </c>
      <c r="D78" s="7" t="n">
        <v>92</v>
      </c>
      <c r="E78" s="7" t="n">
        <v>26.4986</v>
      </c>
      <c r="F78" s="7" t="n"/>
      <c r="G78" s="7" t="n"/>
      <c r="H78" s="7" t="n"/>
      <c r="I78" s="7" t="n"/>
    </row>
  </sheetData>
  <mergeCells count="5">
    <mergeCell ref="B29:B33"/>
    <mergeCell ref="B4:B8"/>
    <mergeCell ref="B54:B58"/>
    <mergeCell ref="K3:M3"/>
    <mergeCell ref="K7:M7"/>
  </mergeCells>
  <conditionalFormatting sqref="F4">
    <cfRule type="cellIs" priority="1" operator="between" dxfId="0" stopIfTrue="1">
      <formula>80.34</formula>
      <formula>96.54</formula>
    </cfRule>
    <cfRule type="cellIs" priority="2" operator="notBetween" dxfId="1" stopIfTrue="1">
      <formula>80.34</formula>
      <formula>96.54</formula>
    </cfRule>
  </conditionalFormatting>
  <conditionalFormatting sqref="H4">
    <cfRule type="cellIs" priority="3" operator="lessThanOrEqual" dxfId="0" stopIfTrue="1">
      <formula>1.885</formula>
    </cfRule>
    <cfRule type="cellIs" priority="4" operator="greaterThan" dxfId="1" stopIfTrue="1">
      <formula>1.885</formula>
    </cfRule>
  </conditionalFormatting>
  <conditionalFormatting sqref="F9">
    <cfRule type="cellIs" priority="5" operator="between" dxfId="0" stopIfTrue="1">
      <formula>80.34</formula>
      <formula>96.54</formula>
    </cfRule>
    <cfRule type="cellIs" priority="6" operator="notBetween" dxfId="1" stopIfTrue="1">
      <formula>80.34</formula>
      <formula>96.54</formula>
    </cfRule>
  </conditionalFormatting>
  <conditionalFormatting sqref="H9">
    <cfRule type="cellIs" priority="7" operator="lessThanOrEqual" dxfId="0" stopIfTrue="1">
      <formula>1.885</formula>
    </cfRule>
    <cfRule type="cellIs" priority="8" operator="greaterThan" dxfId="1" stopIfTrue="1">
      <formula>1.885</formula>
    </cfRule>
  </conditionalFormatting>
  <conditionalFormatting sqref="F14">
    <cfRule type="cellIs" priority="9" operator="between" dxfId="0" stopIfTrue="1">
      <formula>80.34</formula>
      <formula>96.54</formula>
    </cfRule>
    <cfRule type="cellIs" priority="10" operator="notBetween" dxfId="1" stopIfTrue="1">
      <formula>80.34</formula>
      <formula>96.54</formula>
    </cfRule>
  </conditionalFormatting>
  <conditionalFormatting sqref="H14">
    <cfRule type="cellIs" priority="11" operator="lessThanOrEqual" dxfId="0" stopIfTrue="1">
      <formula>1.885</formula>
    </cfRule>
    <cfRule type="cellIs" priority="12" operator="greaterThan" dxfId="1" stopIfTrue="1">
      <formula>1.885</formula>
    </cfRule>
  </conditionalFormatting>
  <conditionalFormatting sqref="F19">
    <cfRule type="cellIs" priority="13" operator="between" dxfId="0" stopIfTrue="1">
      <formula>80.34</formula>
      <formula>96.54</formula>
    </cfRule>
    <cfRule type="cellIs" priority="14" operator="notBetween" dxfId="1" stopIfTrue="1">
      <formula>80.34</formula>
      <formula>96.54</formula>
    </cfRule>
  </conditionalFormatting>
  <conditionalFormatting sqref="H19">
    <cfRule type="cellIs" priority="15" operator="lessThanOrEqual" dxfId="0" stopIfTrue="1">
      <formula>1.885</formula>
    </cfRule>
    <cfRule type="cellIs" priority="16" operator="greaterThan" dxfId="1" stopIfTrue="1">
      <formula>1.885</formula>
    </cfRule>
  </conditionalFormatting>
  <conditionalFormatting sqref="F24">
    <cfRule type="cellIs" priority="17" operator="between" dxfId="0" stopIfTrue="1">
      <formula>80.34</formula>
      <formula>96.54</formula>
    </cfRule>
    <cfRule type="cellIs" priority="18" operator="notBetween" dxfId="1" stopIfTrue="1">
      <formula>80.34</formula>
      <formula>96.54</formula>
    </cfRule>
  </conditionalFormatting>
  <conditionalFormatting sqref="H24">
    <cfRule type="cellIs" priority="19" operator="lessThanOrEqual" dxfId="0" stopIfTrue="1">
      <formula>1.885</formula>
    </cfRule>
    <cfRule type="cellIs" priority="20" operator="greaterThan" dxfId="1" stopIfTrue="1">
      <formula>1.885</formula>
    </cfRule>
  </conditionalFormatting>
  <conditionalFormatting sqref="F29">
    <cfRule type="cellIs" priority="21" operator="between" dxfId="0" stopIfTrue="1">
      <formula>80.34</formula>
      <formula>96.54</formula>
    </cfRule>
    <cfRule type="cellIs" priority="22" operator="notBetween" dxfId="1" stopIfTrue="1">
      <formula>80.34</formula>
      <formula>96.54</formula>
    </cfRule>
  </conditionalFormatting>
  <conditionalFormatting sqref="H29">
    <cfRule type="cellIs" priority="23" operator="lessThanOrEqual" dxfId="0" stopIfTrue="1">
      <formula>1.885</formula>
    </cfRule>
    <cfRule type="cellIs" priority="24" operator="greaterThan" dxfId="1" stopIfTrue="1">
      <formula>1.885</formula>
    </cfRule>
  </conditionalFormatting>
  <conditionalFormatting sqref="F34">
    <cfRule type="cellIs" priority="25" operator="between" dxfId="0" stopIfTrue="1">
      <formula>80.34</formula>
      <formula>96.54</formula>
    </cfRule>
    <cfRule type="cellIs" priority="26" operator="notBetween" dxfId="1" stopIfTrue="1">
      <formula>80.34</formula>
      <formula>96.54</formula>
    </cfRule>
  </conditionalFormatting>
  <conditionalFormatting sqref="H34">
    <cfRule type="cellIs" priority="27" operator="lessThanOrEqual" dxfId="0" stopIfTrue="1">
      <formula>1.885</formula>
    </cfRule>
    <cfRule type="cellIs" priority="28" operator="greaterThan" dxfId="1" stopIfTrue="1">
      <formula>1.885</formula>
    </cfRule>
  </conditionalFormatting>
  <conditionalFormatting sqref="F39">
    <cfRule type="cellIs" priority="29" operator="between" dxfId="0" stopIfTrue="1">
      <formula>80.34</formula>
      <formula>96.54</formula>
    </cfRule>
    <cfRule type="cellIs" priority="30" operator="notBetween" dxfId="1" stopIfTrue="1">
      <formula>80.34</formula>
      <formula>96.54</formula>
    </cfRule>
  </conditionalFormatting>
  <conditionalFormatting sqref="H39">
    <cfRule type="cellIs" priority="31" operator="lessThanOrEqual" dxfId="0" stopIfTrue="1">
      <formula>1.885</formula>
    </cfRule>
    <cfRule type="cellIs" priority="32" operator="greaterThan" dxfId="1" stopIfTrue="1">
      <formula>1.885</formula>
    </cfRule>
  </conditionalFormatting>
  <conditionalFormatting sqref="F44">
    <cfRule type="cellIs" priority="33" operator="between" dxfId="0" stopIfTrue="1">
      <formula>80.34</formula>
      <formula>96.54</formula>
    </cfRule>
    <cfRule type="cellIs" priority="34" operator="notBetween" dxfId="1" stopIfTrue="1">
      <formula>80.34</formula>
      <formula>96.54</formula>
    </cfRule>
  </conditionalFormatting>
  <conditionalFormatting sqref="H44">
    <cfRule type="cellIs" priority="35" operator="lessThanOrEqual" dxfId="0" stopIfTrue="1">
      <formula>1.885</formula>
    </cfRule>
    <cfRule type="cellIs" priority="36" operator="greaterThan" dxfId="1" stopIfTrue="1">
      <formula>1.885</formula>
    </cfRule>
  </conditionalFormatting>
  <conditionalFormatting sqref="F49">
    <cfRule type="cellIs" priority="37" operator="between" dxfId="0" stopIfTrue="1">
      <formula>80.34</formula>
      <formula>96.54</formula>
    </cfRule>
    <cfRule type="cellIs" priority="38" operator="notBetween" dxfId="1" stopIfTrue="1">
      <formula>80.34</formula>
      <formula>96.54</formula>
    </cfRule>
  </conditionalFormatting>
  <conditionalFormatting sqref="H49">
    <cfRule type="cellIs" priority="39" operator="lessThanOrEqual" dxfId="0" stopIfTrue="1">
      <formula>1.885</formula>
    </cfRule>
    <cfRule type="cellIs" priority="40" operator="greaterThan" dxfId="1" stopIfTrue="1">
      <formula>1.885</formula>
    </cfRule>
  </conditionalFormatting>
  <conditionalFormatting sqref="F54">
    <cfRule type="cellIs" priority="41" operator="between" dxfId="0" stopIfTrue="1">
      <formula>80.34</formula>
      <formula>96.54</formula>
    </cfRule>
    <cfRule type="cellIs" priority="42" operator="notBetween" dxfId="1" stopIfTrue="1">
      <formula>80.34</formula>
      <formula>96.54</formula>
    </cfRule>
  </conditionalFormatting>
  <conditionalFormatting sqref="H54">
    <cfRule type="cellIs" priority="43" operator="lessThanOrEqual" dxfId="0" stopIfTrue="1">
      <formula>1.885</formula>
    </cfRule>
    <cfRule type="cellIs" priority="44" operator="greaterThan" dxfId="1" stopIfTrue="1">
      <formula>1.885</formula>
    </cfRule>
  </conditionalFormatting>
  <conditionalFormatting sqref="F59">
    <cfRule type="cellIs" priority="45" operator="between" dxfId="0" stopIfTrue="1">
      <formula>80.34</formula>
      <formula>96.54</formula>
    </cfRule>
    <cfRule type="cellIs" priority="46" operator="notBetween" dxfId="1" stopIfTrue="1">
      <formula>80.34</formula>
      <formula>96.54</formula>
    </cfRule>
  </conditionalFormatting>
  <conditionalFormatting sqref="H59">
    <cfRule type="cellIs" priority="47" operator="lessThanOrEqual" dxfId="0" stopIfTrue="1">
      <formula>1.885</formula>
    </cfRule>
    <cfRule type="cellIs" priority="48" operator="greaterThan" dxfId="1" stopIfTrue="1">
      <formula>1.885</formula>
    </cfRule>
  </conditionalFormatting>
  <conditionalFormatting sqref="F64">
    <cfRule type="cellIs" priority="49" operator="between" dxfId="0" stopIfTrue="1">
      <formula>80.34</formula>
      <formula>96.54</formula>
    </cfRule>
    <cfRule type="cellIs" priority="50" operator="notBetween" dxfId="1" stopIfTrue="1">
      <formula>80.34</formula>
      <formula>96.54</formula>
    </cfRule>
  </conditionalFormatting>
  <conditionalFormatting sqref="H64">
    <cfRule type="cellIs" priority="51" operator="lessThanOrEqual" dxfId="0" stopIfTrue="1">
      <formula>1.885</formula>
    </cfRule>
    <cfRule type="cellIs" priority="52" operator="greaterThan" dxfId="1" stopIfTrue="1">
      <formula>1.885</formula>
    </cfRule>
  </conditionalFormatting>
  <conditionalFormatting sqref="F69">
    <cfRule type="cellIs" priority="53" operator="between" dxfId="0" stopIfTrue="1">
      <formula>80.34</formula>
      <formula>96.54</formula>
    </cfRule>
    <cfRule type="cellIs" priority="54" operator="notBetween" dxfId="1" stopIfTrue="1">
      <formula>80.34</formula>
      <formula>96.54</formula>
    </cfRule>
  </conditionalFormatting>
  <conditionalFormatting sqref="H69">
    <cfRule type="cellIs" priority="55" operator="lessThanOrEqual" dxfId="0" stopIfTrue="1">
      <formula>1.885</formula>
    </cfRule>
    <cfRule type="cellIs" priority="56" operator="greaterThan" dxfId="1" stopIfTrue="1">
      <formula>1.885</formula>
    </cfRule>
  </conditionalFormatting>
  <conditionalFormatting sqref="F74">
    <cfRule type="cellIs" priority="57" operator="between" dxfId="0" stopIfTrue="1">
      <formula>80.34</formula>
      <formula>96.54</formula>
    </cfRule>
    <cfRule type="cellIs" priority="58" operator="notBetween" dxfId="1" stopIfTrue="1">
      <formula>80.34</formula>
      <formula>96.54</formula>
    </cfRule>
  </conditionalFormatting>
  <conditionalFormatting sqref="H74">
    <cfRule type="cellIs" priority="59" operator="lessThanOrEqual" dxfId="0" stopIfTrue="1">
      <formula>1.885</formula>
    </cfRule>
    <cfRule type="cellIs" priority="60" operator="greaterThan" dxfId="1" stopIfTrue="1">
      <formula>1.885</formula>
    </cfRule>
  </conditionalFormatting>
  <conditionalFormatting sqref="G4">
    <cfRule type="cellIs" priority="61" operator="between" dxfId="0" stopIfTrue="1">
      <formula>80.34</formula>
      <formula>96.54</formula>
    </cfRule>
    <cfRule type="cellIs" priority="62" operator="notBetween" dxfId="1" stopIfTrue="1">
      <formula>80.34</formula>
      <formula>96.54</formula>
    </cfRule>
  </conditionalFormatting>
  <conditionalFormatting sqref="G29">
    <cfRule type="cellIs" priority="63" operator="between" dxfId="0" stopIfTrue="1">
      <formula>80.34</formula>
      <formula>96.54</formula>
    </cfRule>
    <cfRule type="cellIs" priority="64" operator="notBetween" dxfId="1" stopIfTrue="1">
      <formula>80.34</formula>
      <formula>96.54</formula>
    </cfRule>
  </conditionalFormatting>
  <conditionalFormatting sqref="G54">
    <cfRule type="cellIs" priority="65" operator="between" dxfId="0" stopIfTrue="1">
      <formula>80.34</formula>
      <formula>96.54</formula>
    </cfRule>
    <cfRule type="cellIs" priority="66" operator="notBetween" dxfId="1" stopIfTrue="1">
      <formula>80.34</formula>
      <formula>96.54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M48"/>
  <sheetViews>
    <sheetView workbookViewId="0">
      <selection activeCell="A1" sqref="A1"/>
    </sheetView>
  </sheetViews>
  <sheetFormatPr baseColWidth="8" defaultRowHeight="15"/>
  <cols>
    <col width="2" customWidth="1" min="1" max="1"/>
    <col width="16.44" customWidth="1" min="2" max="2"/>
    <col width="16.44" customWidth="1" min="3" max="3"/>
    <col width="16.44" customWidth="1" min="4" max="4"/>
    <col width="16.44" customWidth="1" min="5" max="5"/>
    <col width="16.44" customWidth="1" min="6" max="6"/>
    <col width="16.44" customWidth="1" min="7" max="7"/>
    <col width="16.44" customWidth="1" min="8" max="8"/>
    <col width="16.44" customWidth="1" min="9" max="9"/>
    <col width="10" customWidth="1" min="11" max="11"/>
    <col width="10" customWidth="1" min="12" max="12"/>
    <col width="10" customWidth="1" min="13" max="13"/>
  </cols>
  <sheetData>
    <row r="3">
      <c r="C3" s="6" t="inlineStr">
        <is>
          <t>Slot No.</t>
        </is>
      </c>
      <c r="D3" s="6" t="inlineStr">
        <is>
          <t>Coordinate</t>
        </is>
      </c>
      <c r="E3" s="6" t="inlineStr">
        <is>
          <t>SL Pair Thickness</t>
        </is>
      </c>
      <c r="F3" s="6" t="inlineStr">
        <is>
          <t>Wafer Average</t>
        </is>
      </c>
      <c r="G3" s="6" t="inlineStr">
        <is>
          <t>Run Average</t>
        </is>
      </c>
      <c r="H3" s="6" t="inlineStr">
        <is>
          <t>WW Uniformity</t>
        </is>
      </c>
      <c r="I3" s="6" t="inlineStr">
        <is>
          <t>W-W Uniformity</t>
        </is>
      </c>
      <c r="K3" s="2" t="inlineStr">
        <is>
          <t>SPECs (nm)</t>
        </is>
      </c>
      <c r="L3" s="4" t="n"/>
      <c r="M3" s="5" t="n"/>
    </row>
    <row r="4">
      <c r="B4" s="13" t="inlineStr">
        <is>
          <t>V3103</t>
        </is>
      </c>
      <c r="C4" s="7" t="n">
        <v>1</v>
      </c>
      <c r="D4" s="7" t="n">
        <v>0</v>
      </c>
      <c r="E4" s="7" t="n">
        <v>2.652</v>
      </c>
      <c r="F4" s="7">
        <f>AVERAGE(E4:E6)</f>
        <v/>
      </c>
      <c r="G4" s="7">
        <f>AVERAGE(F4:F16)</f>
        <v/>
      </c>
      <c r="H4" s="7">
        <f>MAX(E4:E6)-MIN(E4:E6)</f>
        <v/>
      </c>
      <c r="I4" s="7">
        <f>MAX(F4:F16)-MIN(F4:F16)</f>
        <v/>
      </c>
      <c r="K4" s="6" t="inlineStr">
        <is>
          <t>Min</t>
        </is>
      </c>
      <c r="L4" s="6" t="inlineStr">
        <is>
          <t>Target</t>
        </is>
      </c>
      <c r="M4" s="6" t="inlineStr">
        <is>
          <t>Max</t>
        </is>
      </c>
    </row>
    <row r="5">
      <c r="B5" s="13" t="n"/>
      <c r="C5" s="7" t="n">
        <v>1</v>
      </c>
      <c r="D5" s="7" t="n">
        <v>45</v>
      </c>
      <c r="E5" s="7" t="n">
        <v>2.652</v>
      </c>
      <c r="F5" s="7" t="n"/>
      <c r="G5" s="7" t="n"/>
      <c r="H5" s="7" t="n"/>
      <c r="I5" s="7" t="n"/>
      <c r="K5" s="7" t="n">
        <v>44.11</v>
      </c>
      <c r="L5" s="7" t="n">
        <v>51.54</v>
      </c>
      <c r="M5" s="7" t="n">
        <v>58.97</v>
      </c>
    </row>
    <row r="6">
      <c r="B6" s="13" t="n"/>
      <c r="C6" s="7" t="n">
        <v>1</v>
      </c>
      <c r="D6" s="7" t="n">
        <v>93</v>
      </c>
      <c r="E6" s="7" t="n">
        <v>2.652</v>
      </c>
      <c r="F6" s="7" t="n"/>
      <c r="G6" s="7" t="n"/>
      <c r="H6" s="7" t="n"/>
      <c r="I6" s="7" t="n"/>
    </row>
    <row r="7">
      <c r="C7" s="7" t="n">
        <v>2</v>
      </c>
      <c r="D7" s="7" t="n">
        <v>0</v>
      </c>
      <c r="E7" s="7" t="n">
        <v>2.654</v>
      </c>
      <c r="F7" s="7">
        <f>AVERAGE(E7:E9)</f>
        <v/>
      </c>
      <c r="G7" s="7" t="n"/>
      <c r="H7" s="7">
        <f>MAX(E7:E9)-MIN(E7:E9)</f>
        <v/>
      </c>
      <c r="I7" s="7" t="n"/>
      <c r="K7" s="2" t="inlineStr">
        <is>
          <t>SPECs of Max-Min (nm)</t>
        </is>
      </c>
      <c r="L7" s="4" t="n"/>
      <c r="M7" s="5" t="n"/>
    </row>
    <row r="8">
      <c r="C8" s="7" t="n">
        <v>2</v>
      </c>
      <c r="D8" s="7" t="n">
        <v>45</v>
      </c>
      <c r="E8" s="7" t="n">
        <v>2.654</v>
      </c>
      <c r="F8" s="7" t="n"/>
      <c r="G8" s="7" t="n"/>
      <c r="H8" s="7" t="n"/>
      <c r="I8" s="7" t="n"/>
      <c r="K8" s="6" t="inlineStr">
        <is>
          <t>WW</t>
        </is>
      </c>
      <c r="L8" s="6" t="inlineStr">
        <is>
          <t>W-2-W</t>
        </is>
      </c>
      <c r="M8" s="6" t="inlineStr">
        <is>
          <t>R-2-R</t>
        </is>
      </c>
    </row>
    <row r="9">
      <c r="C9" s="7" t="n">
        <v>2</v>
      </c>
      <c r="D9" s="7" t="n">
        <v>93</v>
      </c>
      <c r="E9" s="7" t="n">
        <v>2.654</v>
      </c>
      <c r="F9" s="7" t="n"/>
      <c r="G9" s="7" t="n"/>
      <c r="H9" s="7" t="n"/>
      <c r="I9" s="7" t="n"/>
      <c r="K9" s="7" t="n">
        <v>0.789</v>
      </c>
      <c r="L9" s="7" t="inlineStr">
        <is>
          <t>-</t>
        </is>
      </c>
      <c r="M9" s="7" t="inlineStr">
        <is>
          <t>-</t>
        </is>
      </c>
    </row>
    <row r="10">
      <c r="C10" s="7" t="n">
        <v>3</v>
      </c>
      <c r="D10" s="7" t="n">
        <v>0</v>
      </c>
      <c r="E10" s="7" t="n">
        <v>2.656000000000001</v>
      </c>
      <c r="F10" s="7">
        <f>AVERAGE(E10:E12)</f>
        <v/>
      </c>
      <c r="G10" s="7" t="n"/>
      <c r="H10" s="7">
        <f>MAX(E10:E12)-MIN(E10:E12)</f>
        <v/>
      </c>
      <c r="I10" s="7" t="n"/>
    </row>
    <row r="11">
      <c r="C11" s="7" t="n">
        <v>3</v>
      </c>
      <c r="D11" s="7" t="n">
        <v>45</v>
      </c>
      <c r="E11" s="7" t="n">
        <v>2.656000000000001</v>
      </c>
      <c r="F11" s="7" t="n"/>
      <c r="G11" s="7" t="n"/>
      <c r="H11" s="7" t="n"/>
      <c r="I11" s="7" t="n"/>
    </row>
    <row r="12">
      <c r="C12" s="7" t="n">
        <v>3</v>
      </c>
      <c r="D12" s="7" t="n">
        <v>93</v>
      </c>
      <c r="E12" s="7" t="n">
        <v>2.656000000000001</v>
      </c>
      <c r="F12" s="7" t="n"/>
      <c r="G12" s="7" t="n"/>
      <c r="H12" s="7" t="n"/>
      <c r="I12" s="7" t="n"/>
    </row>
    <row r="13">
      <c r="C13" s="7" t="n">
        <v>4</v>
      </c>
      <c r="D13" s="7" t="n">
        <v>0</v>
      </c>
      <c r="E13" s="7" t="n">
        <v>2.658</v>
      </c>
      <c r="F13" s="7">
        <f>AVERAGE(E13:E15)</f>
        <v/>
      </c>
      <c r="G13" s="7" t="n"/>
      <c r="H13" s="7">
        <f>MAX(E13:E15)-MIN(E13:E15)</f>
        <v/>
      </c>
      <c r="I13" s="7" t="n"/>
    </row>
    <row r="14">
      <c r="C14" s="7" t="n">
        <v>4</v>
      </c>
      <c r="D14" s="7" t="n">
        <v>45</v>
      </c>
      <c r="E14" s="7" t="n">
        <v>2.658</v>
      </c>
      <c r="F14" s="7" t="n"/>
      <c r="G14" s="7" t="n"/>
      <c r="H14" s="7" t="n"/>
      <c r="I14" s="7" t="n"/>
    </row>
    <row r="15">
      <c r="C15" s="7" t="n">
        <v>4</v>
      </c>
      <c r="D15" s="7" t="n">
        <v>93</v>
      </c>
      <c r="E15" s="7" t="n">
        <v>2.658</v>
      </c>
      <c r="F15" s="7" t="n"/>
      <c r="G15" s="7" t="n"/>
      <c r="H15" s="7" t="n"/>
      <c r="I15" s="7" t="n"/>
    </row>
    <row r="16">
      <c r="C16" s="7" t="n">
        <v>5</v>
      </c>
      <c r="D16" s="7" t="n">
        <v>0</v>
      </c>
      <c r="E16" s="7" t="n">
        <v>2.66</v>
      </c>
      <c r="F16" s="7">
        <f>AVERAGE(E16:E18)</f>
        <v/>
      </c>
      <c r="G16" s="7" t="n"/>
      <c r="H16" s="7">
        <f>MAX(E16:E18)-MIN(E16:E18)</f>
        <v/>
      </c>
      <c r="I16" s="7" t="n"/>
    </row>
    <row r="17">
      <c r="C17" s="7" t="n">
        <v>5</v>
      </c>
      <c r="D17" s="7" t="n">
        <v>45</v>
      </c>
      <c r="E17" s="7" t="n">
        <v>2.66</v>
      </c>
      <c r="F17" s="7" t="n"/>
      <c r="G17" s="7" t="n"/>
      <c r="H17" s="7" t="n"/>
      <c r="I17" s="7" t="n"/>
    </row>
    <row r="18">
      <c r="C18" s="7" t="n">
        <v>5</v>
      </c>
      <c r="D18" s="7" t="n">
        <v>93</v>
      </c>
      <c r="E18" s="7" t="n">
        <v>2.66</v>
      </c>
      <c r="F18" s="7" t="n"/>
      <c r="G18" s="7" t="n"/>
      <c r="H18" s="7" t="n"/>
      <c r="I18" s="7" t="n"/>
    </row>
    <row r="19">
      <c r="B19" s="13" t="inlineStr">
        <is>
          <t>V3103</t>
        </is>
      </c>
      <c r="C19" s="7" t="n">
        <v>1</v>
      </c>
      <c r="D19" s="7" t="n">
        <v>0</v>
      </c>
      <c r="E19" s="7" t="n">
        <v>2.652</v>
      </c>
      <c r="F19" s="7">
        <f>AVERAGE(E19:E21)</f>
        <v/>
      </c>
      <c r="G19" s="7">
        <f>AVERAGE(F19:F31)</f>
        <v/>
      </c>
      <c r="H19" s="7">
        <f>MAX(E19:E21)-MIN(E19:E21)</f>
        <v/>
      </c>
      <c r="I19" s="7">
        <f>MAX(F19:F31)-MIN(F19:F31)</f>
        <v/>
      </c>
    </row>
    <row r="20">
      <c r="B20" s="13" t="n"/>
      <c r="C20" s="7" t="n">
        <v>1</v>
      </c>
      <c r="D20" s="7" t="n">
        <v>45</v>
      </c>
      <c r="E20" s="7" t="n">
        <v>2.652</v>
      </c>
      <c r="F20" s="7" t="n"/>
      <c r="G20" s="7" t="n"/>
      <c r="H20" s="7" t="n"/>
      <c r="I20" s="7" t="n"/>
    </row>
    <row r="21">
      <c r="B21" s="13" t="n"/>
      <c r="C21" s="7" t="n">
        <v>1</v>
      </c>
      <c r="D21" s="7" t="n">
        <v>93</v>
      </c>
      <c r="E21" s="7" t="n">
        <v>2.652</v>
      </c>
      <c r="F21" s="7" t="n"/>
      <c r="G21" s="7" t="n"/>
      <c r="H21" s="7" t="n"/>
      <c r="I21" s="7" t="n"/>
    </row>
    <row r="22">
      <c r="C22" s="7" t="n">
        <v>2</v>
      </c>
      <c r="D22" s="7" t="n">
        <v>0</v>
      </c>
      <c r="E22" s="7" t="n">
        <v>2.654</v>
      </c>
      <c r="F22" s="7">
        <f>AVERAGE(E22:E24)</f>
        <v/>
      </c>
      <c r="G22" s="7" t="n"/>
      <c r="H22" s="7">
        <f>MAX(E22:E24)-MIN(E22:E24)</f>
        <v/>
      </c>
      <c r="I22" s="7" t="n"/>
    </row>
    <row r="23">
      <c r="C23" s="7" t="n">
        <v>2</v>
      </c>
      <c r="D23" s="7" t="n">
        <v>45</v>
      </c>
      <c r="E23" s="7" t="n">
        <v>2.654</v>
      </c>
      <c r="F23" s="7" t="n"/>
      <c r="G23" s="7" t="n"/>
      <c r="H23" s="7" t="n"/>
      <c r="I23" s="7" t="n"/>
    </row>
    <row r="24">
      <c r="C24" s="7" t="n">
        <v>2</v>
      </c>
      <c r="D24" s="7" t="n">
        <v>93</v>
      </c>
      <c r="E24" s="7" t="n">
        <v>2.654</v>
      </c>
      <c r="F24" s="7" t="n"/>
      <c r="G24" s="7" t="n"/>
      <c r="H24" s="7" t="n"/>
      <c r="I24" s="7" t="n"/>
    </row>
    <row r="25">
      <c r="C25" s="7" t="n">
        <v>3</v>
      </c>
      <c r="D25" s="7" t="n">
        <v>0</v>
      </c>
      <c r="E25" s="7" t="n">
        <v>2.656000000000001</v>
      </c>
      <c r="F25" s="7">
        <f>AVERAGE(E25:E27)</f>
        <v/>
      </c>
      <c r="G25" s="7" t="n"/>
      <c r="H25" s="7">
        <f>MAX(E25:E27)-MIN(E25:E27)</f>
        <v/>
      </c>
      <c r="I25" s="7" t="n"/>
    </row>
    <row r="26">
      <c r="C26" s="7" t="n">
        <v>3</v>
      </c>
      <c r="D26" s="7" t="n">
        <v>45</v>
      </c>
      <c r="E26" s="7" t="n">
        <v>2.656000000000001</v>
      </c>
      <c r="F26" s="7" t="n"/>
      <c r="G26" s="7" t="n"/>
      <c r="H26" s="7" t="n"/>
      <c r="I26" s="7" t="n"/>
    </row>
    <row r="27">
      <c r="C27" s="7" t="n">
        <v>3</v>
      </c>
      <c r="D27" s="7" t="n">
        <v>93</v>
      </c>
      <c r="E27" s="7" t="n">
        <v>2.656000000000001</v>
      </c>
      <c r="F27" s="7" t="n"/>
      <c r="G27" s="7" t="n"/>
      <c r="H27" s="7" t="n"/>
      <c r="I27" s="7" t="n"/>
    </row>
    <row r="28">
      <c r="C28" s="7" t="n">
        <v>4</v>
      </c>
      <c r="D28" s="7" t="n">
        <v>0</v>
      </c>
      <c r="E28" s="7" t="n">
        <v>2.658</v>
      </c>
      <c r="F28" s="7">
        <f>AVERAGE(E28:E30)</f>
        <v/>
      </c>
      <c r="G28" s="7" t="n"/>
      <c r="H28" s="7">
        <f>MAX(E28:E30)-MIN(E28:E30)</f>
        <v/>
      </c>
      <c r="I28" s="7" t="n"/>
    </row>
    <row r="29">
      <c r="C29" s="7" t="n">
        <v>4</v>
      </c>
      <c r="D29" s="7" t="n">
        <v>45</v>
      </c>
      <c r="E29" s="7" t="n">
        <v>2.658</v>
      </c>
      <c r="F29" s="7" t="n"/>
      <c r="G29" s="7" t="n"/>
      <c r="H29" s="7" t="n"/>
      <c r="I29" s="7" t="n"/>
    </row>
    <row r="30">
      <c r="C30" s="7" t="n">
        <v>4</v>
      </c>
      <c r="D30" s="7" t="n">
        <v>93</v>
      </c>
      <c r="E30" s="7" t="n">
        <v>2.658</v>
      </c>
      <c r="F30" s="7" t="n"/>
      <c r="G30" s="7" t="n"/>
      <c r="H30" s="7" t="n"/>
      <c r="I30" s="7" t="n"/>
    </row>
    <row r="31">
      <c r="C31" s="7" t="n">
        <v>5</v>
      </c>
      <c r="D31" s="7" t="n">
        <v>0</v>
      </c>
      <c r="E31" s="7" t="n">
        <v>2.66</v>
      </c>
      <c r="F31" s="7">
        <f>AVERAGE(E31:E33)</f>
        <v/>
      </c>
      <c r="G31" s="7" t="n"/>
      <c r="H31" s="7">
        <f>MAX(E31:E33)-MIN(E31:E33)</f>
        <v/>
      </c>
      <c r="I31" s="7" t="n"/>
    </row>
    <row r="32">
      <c r="C32" s="7" t="n">
        <v>5</v>
      </c>
      <c r="D32" s="7" t="n">
        <v>45</v>
      </c>
      <c r="E32" s="7" t="n">
        <v>2.66</v>
      </c>
      <c r="F32" s="7" t="n"/>
      <c r="G32" s="7" t="n"/>
      <c r="H32" s="7" t="n"/>
      <c r="I32" s="7" t="n"/>
    </row>
    <row r="33">
      <c r="C33" s="7" t="n">
        <v>5</v>
      </c>
      <c r="D33" s="7" t="n">
        <v>93</v>
      </c>
      <c r="E33" s="7" t="n">
        <v>2.66</v>
      </c>
      <c r="F33" s="7" t="n"/>
      <c r="G33" s="7" t="n"/>
      <c r="H33" s="7" t="n"/>
      <c r="I33" s="7" t="n"/>
    </row>
    <row r="34">
      <c r="B34" s="13" t="inlineStr">
        <is>
          <t>V3103</t>
        </is>
      </c>
      <c r="C34" s="7" t="n">
        <v>1</v>
      </c>
      <c r="D34" s="7" t="n">
        <v>0</v>
      </c>
      <c r="E34" s="7" t="n">
        <v>2.652</v>
      </c>
      <c r="F34" s="7">
        <f>AVERAGE(E34:E36)</f>
        <v/>
      </c>
      <c r="G34" s="7">
        <f>AVERAGE(F34:F46)</f>
        <v/>
      </c>
      <c r="H34" s="7">
        <f>MAX(E34:E36)-MIN(E34:E36)</f>
        <v/>
      </c>
      <c r="I34" s="7">
        <f>MAX(F34:F46)-MIN(F34:F46)</f>
        <v/>
      </c>
    </row>
    <row r="35">
      <c r="B35" s="13" t="n"/>
      <c r="C35" s="7" t="n">
        <v>1</v>
      </c>
      <c r="D35" s="7" t="n">
        <v>45</v>
      </c>
      <c r="E35" s="7" t="n">
        <v>2.652</v>
      </c>
      <c r="F35" s="7" t="n"/>
      <c r="G35" s="7" t="n"/>
      <c r="H35" s="7" t="n"/>
      <c r="I35" s="7" t="n"/>
    </row>
    <row r="36">
      <c r="B36" s="13" t="n"/>
      <c r="C36" s="7" t="n">
        <v>1</v>
      </c>
      <c r="D36" s="7" t="n">
        <v>93</v>
      </c>
      <c r="E36" s="7" t="n">
        <v>2.652</v>
      </c>
      <c r="F36" s="7" t="n"/>
      <c r="G36" s="7" t="n"/>
      <c r="H36" s="7" t="n"/>
      <c r="I36" s="7" t="n"/>
    </row>
    <row r="37">
      <c r="C37" s="7" t="n">
        <v>2</v>
      </c>
      <c r="D37" s="7" t="n">
        <v>0</v>
      </c>
      <c r="E37" s="7" t="n">
        <v>2.654</v>
      </c>
      <c r="F37" s="7">
        <f>AVERAGE(E37:E39)</f>
        <v/>
      </c>
      <c r="G37" s="7" t="n"/>
      <c r="H37" s="7">
        <f>MAX(E37:E39)-MIN(E37:E39)</f>
        <v/>
      </c>
      <c r="I37" s="7" t="n"/>
    </row>
    <row r="38">
      <c r="C38" s="7" t="n">
        <v>2</v>
      </c>
      <c r="D38" s="7" t="n">
        <v>45</v>
      </c>
      <c r="E38" s="7" t="n">
        <v>2.654</v>
      </c>
      <c r="F38" s="7" t="n"/>
      <c r="G38" s="7" t="n"/>
      <c r="H38" s="7" t="n"/>
      <c r="I38" s="7" t="n"/>
    </row>
    <row r="39">
      <c r="C39" s="7" t="n">
        <v>2</v>
      </c>
      <c r="D39" s="7" t="n">
        <v>93</v>
      </c>
      <c r="E39" s="7" t="n">
        <v>2.654</v>
      </c>
      <c r="F39" s="7" t="n"/>
      <c r="G39" s="7" t="n"/>
      <c r="H39" s="7" t="n"/>
      <c r="I39" s="7" t="n"/>
    </row>
    <row r="40">
      <c r="C40" s="7" t="n">
        <v>3</v>
      </c>
      <c r="D40" s="7" t="n">
        <v>0</v>
      </c>
      <c r="E40" s="7" t="n">
        <v>2.656000000000001</v>
      </c>
      <c r="F40" s="7">
        <f>AVERAGE(E40:E42)</f>
        <v/>
      </c>
      <c r="G40" s="7" t="n"/>
      <c r="H40" s="7">
        <f>MAX(E40:E42)-MIN(E40:E42)</f>
        <v/>
      </c>
      <c r="I40" s="7" t="n"/>
    </row>
    <row r="41">
      <c r="C41" s="7" t="n">
        <v>3</v>
      </c>
      <c r="D41" s="7" t="n">
        <v>45</v>
      </c>
      <c r="E41" s="7" t="n">
        <v>2.656000000000001</v>
      </c>
      <c r="F41" s="7" t="n"/>
      <c r="G41" s="7" t="n"/>
      <c r="H41" s="7" t="n"/>
      <c r="I41" s="7" t="n"/>
    </row>
    <row r="42">
      <c r="C42" s="7" t="n">
        <v>3</v>
      </c>
      <c r="D42" s="7" t="n">
        <v>93</v>
      </c>
      <c r="E42" s="7" t="n">
        <v>2.656000000000001</v>
      </c>
      <c r="F42" s="7" t="n"/>
      <c r="G42" s="7" t="n"/>
      <c r="H42" s="7" t="n"/>
      <c r="I42" s="7" t="n"/>
    </row>
    <row r="43">
      <c r="C43" s="7" t="n">
        <v>4</v>
      </c>
      <c r="D43" s="7" t="n">
        <v>0</v>
      </c>
      <c r="E43" s="7" t="n">
        <v>2.658</v>
      </c>
      <c r="F43" s="7">
        <f>AVERAGE(E43:E45)</f>
        <v/>
      </c>
      <c r="G43" s="7" t="n"/>
      <c r="H43" s="7">
        <f>MAX(E43:E45)-MIN(E43:E45)</f>
        <v/>
      </c>
      <c r="I43" s="7" t="n"/>
    </row>
    <row r="44">
      <c r="C44" s="7" t="n">
        <v>4</v>
      </c>
      <c r="D44" s="7" t="n">
        <v>45</v>
      </c>
      <c r="E44" s="7" t="n">
        <v>2.658</v>
      </c>
      <c r="F44" s="7" t="n"/>
      <c r="G44" s="7" t="n"/>
      <c r="H44" s="7" t="n"/>
      <c r="I44" s="7" t="n"/>
    </row>
    <row r="45">
      <c r="C45" s="7" t="n">
        <v>4</v>
      </c>
      <c r="D45" s="7" t="n">
        <v>93</v>
      </c>
      <c r="E45" s="7" t="n">
        <v>2.658</v>
      </c>
      <c r="F45" s="7" t="n"/>
      <c r="G45" s="7" t="n"/>
      <c r="H45" s="7" t="n"/>
      <c r="I45" s="7" t="n"/>
    </row>
    <row r="46">
      <c r="C46" s="7" t="n">
        <v>5</v>
      </c>
      <c r="D46" s="7" t="n">
        <v>0</v>
      </c>
      <c r="E46" s="7" t="n">
        <v>2.66</v>
      </c>
      <c r="F46" s="7">
        <f>AVERAGE(E46:E48)</f>
        <v/>
      </c>
      <c r="G46" s="7" t="n"/>
      <c r="H46" s="7">
        <f>MAX(E46:E48)-MIN(E46:E48)</f>
        <v/>
      </c>
      <c r="I46" s="7" t="n"/>
    </row>
    <row r="47">
      <c r="C47" s="7" t="n">
        <v>5</v>
      </c>
      <c r="D47" s="7" t="n">
        <v>45</v>
      </c>
      <c r="E47" s="7" t="n">
        <v>2.66</v>
      </c>
      <c r="F47" s="7" t="n"/>
      <c r="G47" s="7" t="n"/>
      <c r="H47" s="7" t="n"/>
      <c r="I47" s="7" t="n"/>
    </row>
    <row r="48">
      <c r="C48" s="7" t="n">
        <v>5</v>
      </c>
      <c r="D48" s="7" t="n">
        <v>93</v>
      </c>
      <c r="E48" s="7" t="n">
        <v>2.66</v>
      </c>
      <c r="F48" s="7" t="n"/>
      <c r="G48" s="7" t="n"/>
      <c r="H48" s="7" t="n"/>
      <c r="I48" s="7" t="n"/>
    </row>
  </sheetData>
  <mergeCells count="5">
    <mergeCell ref="B4:B6"/>
    <mergeCell ref="B34:B36"/>
    <mergeCell ref="B19:B21"/>
    <mergeCell ref="K3:M3"/>
    <mergeCell ref="K7:M7"/>
  </mergeCells>
  <conditionalFormatting sqref="F4">
    <cfRule type="cellIs" priority="1" operator="between" dxfId="0" stopIfTrue="1">
      <formula>44.11</formula>
      <formula>58.97</formula>
    </cfRule>
    <cfRule type="cellIs" priority="2" operator="notBetween" dxfId="1" stopIfTrue="1">
      <formula>44.11</formula>
      <formula>58.97</formula>
    </cfRule>
  </conditionalFormatting>
  <conditionalFormatting sqref="F7">
    <cfRule type="cellIs" priority="3" operator="between" dxfId="0" stopIfTrue="1">
      <formula>44.11</formula>
      <formula>58.97</formula>
    </cfRule>
    <cfRule type="cellIs" priority="4" operator="notBetween" dxfId="1" stopIfTrue="1">
      <formula>44.11</formula>
      <formula>58.97</formula>
    </cfRule>
  </conditionalFormatting>
  <conditionalFormatting sqref="F10">
    <cfRule type="cellIs" priority="5" operator="between" dxfId="0" stopIfTrue="1">
      <formula>44.11</formula>
      <formula>58.97</formula>
    </cfRule>
    <cfRule type="cellIs" priority="6" operator="notBetween" dxfId="1" stopIfTrue="1">
      <formula>44.11</formula>
      <formula>58.97</formula>
    </cfRule>
  </conditionalFormatting>
  <conditionalFormatting sqref="F13">
    <cfRule type="cellIs" priority="7" operator="between" dxfId="0" stopIfTrue="1">
      <formula>44.11</formula>
      <formula>58.97</formula>
    </cfRule>
    <cfRule type="cellIs" priority="8" operator="notBetween" dxfId="1" stopIfTrue="1">
      <formula>44.11</formula>
      <formula>58.97</formula>
    </cfRule>
  </conditionalFormatting>
  <conditionalFormatting sqref="F16">
    <cfRule type="cellIs" priority="9" operator="between" dxfId="0" stopIfTrue="1">
      <formula>44.11</formula>
      <formula>58.97</formula>
    </cfRule>
    <cfRule type="cellIs" priority="10" operator="notBetween" dxfId="1" stopIfTrue="1">
      <formula>44.11</formula>
      <formula>58.97</formula>
    </cfRule>
  </conditionalFormatting>
  <conditionalFormatting sqref="F19">
    <cfRule type="cellIs" priority="11" operator="between" dxfId="0" stopIfTrue="1">
      <formula>44.11</formula>
      <formula>58.97</formula>
    </cfRule>
    <cfRule type="cellIs" priority="12" operator="notBetween" dxfId="1" stopIfTrue="1">
      <formula>44.11</formula>
      <formula>58.97</formula>
    </cfRule>
  </conditionalFormatting>
  <conditionalFormatting sqref="F22">
    <cfRule type="cellIs" priority="13" operator="between" dxfId="0" stopIfTrue="1">
      <formula>44.11</formula>
      <formula>58.97</formula>
    </cfRule>
    <cfRule type="cellIs" priority="14" operator="notBetween" dxfId="1" stopIfTrue="1">
      <formula>44.11</formula>
      <formula>58.97</formula>
    </cfRule>
  </conditionalFormatting>
  <conditionalFormatting sqref="F25">
    <cfRule type="cellIs" priority="15" operator="between" dxfId="0" stopIfTrue="1">
      <formula>44.11</formula>
      <formula>58.97</formula>
    </cfRule>
    <cfRule type="cellIs" priority="16" operator="notBetween" dxfId="1" stopIfTrue="1">
      <formula>44.11</formula>
      <formula>58.97</formula>
    </cfRule>
  </conditionalFormatting>
  <conditionalFormatting sqref="F28">
    <cfRule type="cellIs" priority="17" operator="between" dxfId="0" stopIfTrue="1">
      <formula>44.11</formula>
      <formula>58.97</formula>
    </cfRule>
    <cfRule type="cellIs" priority="18" operator="notBetween" dxfId="1" stopIfTrue="1">
      <formula>44.11</formula>
      <formula>58.97</formula>
    </cfRule>
  </conditionalFormatting>
  <conditionalFormatting sqref="F31">
    <cfRule type="cellIs" priority="19" operator="between" dxfId="0" stopIfTrue="1">
      <formula>44.11</formula>
      <formula>58.97</formula>
    </cfRule>
    <cfRule type="cellIs" priority="20" operator="notBetween" dxfId="1" stopIfTrue="1">
      <formula>44.11</formula>
      <formula>58.97</formula>
    </cfRule>
  </conditionalFormatting>
  <conditionalFormatting sqref="F34">
    <cfRule type="cellIs" priority="21" operator="between" dxfId="0" stopIfTrue="1">
      <formula>44.11</formula>
      <formula>58.97</formula>
    </cfRule>
    <cfRule type="cellIs" priority="22" operator="notBetween" dxfId="1" stopIfTrue="1">
      <formula>44.11</formula>
      <formula>58.97</formula>
    </cfRule>
  </conditionalFormatting>
  <conditionalFormatting sqref="F37">
    <cfRule type="cellIs" priority="23" operator="between" dxfId="0" stopIfTrue="1">
      <formula>44.11</formula>
      <formula>58.97</formula>
    </cfRule>
    <cfRule type="cellIs" priority="24" operator="notBetween" dxfId="1" stopIfTrue="1">
      <formula>44.11</formula>
      <formula>58.97</formula>
    </cfRule>
  </conditionalFormatting>
  <conditionalFormatting sqref="F40">
    <cfRule type="cellIs" priority="25" operator="between" dxfId="0" stopIfTrue="1">
      <formula>44.11</formula>
      <formula>58.97</formula>
    </cfRule>
    <cfRule type="cellIs" priority="26" operator="notBetween" dxfId="1" stopIfTrue="1">
      <formula>44.11</formula>
      <formula>58.97</formula>
    </cfRule>
  </conditionalFormatting>
  <conditionalFormatting sqref="F43">
    <cfRule type="cellIs" priority="27" operator="between" dxfId="0" stopIfTrue="1">
      <formula>44.11</formula>
      <formula>58.97</formula>
    </cfRule>
    <cfRule type="cellIs" priority="28" operator="notBetween" dxfId="1" stopIfTrue="1">
      <formula>44.11</formula>
      <formula>58.97</formula>
    </cfRule>
  </conditionalFormatting>
  <conditionalFormatting sqref="F46">
    <cfRule type="cellIs" priority="29" operator="between" dxfId="0" stopIfTrue="1">
      <formula>44.11</formula>
      <formula>58.97</formula>
    </cfRule>
    <cfRule type="cellIs" priority="30" operator="notBetween" dxfId="1" stopIfTrue="1">
      <formula>44.11</formula>
      <formula>58.97</formula>
    </cfRule>
  </conditionalFormatting>
  <conditionalFormatting sqref="G4">
    <cfRule type="cellIs" priority="31" operator="between" dxfId="0" stopIfTrue="1">
      <formula>44.11</formula>
      <formula>58.97</formula>
    </cfRule>
    <cfRule type="cellIs" priority="32" operator="notBetween" dxfId="1" stopIfTrue="1">
      <formula>44.11</formula>
      <formula>58.97</formula>
    </cfRule>
  </conditionalFormatting>
  <conditionalFormatting sqref="G19">
    <cfRule type="cellIs" priority="33" operator="between" dxfId="0" stopIfTrue="1">
      <formula>44.11</formula>
      <formula>58.97</formula>
    </cfRule>
    <cfRule type="cellIs" priority="34" operator="notBetween" dxfId="1" stopIfTrue="1">
      <formula>44.11</formula>
      <formula>58.97</formula>
    </cfRule>
  </conditionalFormatting>
  <conditionalFormatting sqref="G34">
    <cfRule type="cellIs" priority="35" operator="between" dxfId="0" stopIfTrue="1">
      <formula>44.11</formula>
      <formula>58.97</formula>
    </cfRule>
    <cfRule type="cellIs" priority="36" operator="notBetween" dxfId="1" stopIfTrue="1">
      <formula>44.11</formula>
      <formula>58.97</formula>
    </cfRule>
  </conditionalFormatting>
  <conditionalFormatting sqref="H4">
    <cfRule type="cellIs" priority="37" operator="lessThanOrEqual" dxfId="0" stopIfTrue="1">
      <formula>0.789</formula>
    </cfRule>
    <cfRule type="cellIs" priority="38" operator="greaterThan" dxfId="1" stopIfTrue="1">
      <formula>0.789</formula>
    </cfRule>
  </conditionalFormatting>
  <conditionalFormatting sqref="H7">
    <cfRule type="cellIs" priority="39" operator="lessThanOrEqual" dxfId="0" stopIfTrue="1">
      <formula>0.789</formula>
    </cfRule>
    <cfRule type="cellIs" priority="40" operator="greaterThan" dxfId="1" stopIfTrue="1">
      <formula>0.789</formula>
    </cfRule>
  </conditionalFormatting>
  <conditionalFormatting sqref="H10">
    <cfRule type="cellIs" priority="41" operator="lessThanOrEqual" dxfId="0" stopIfTrue="1">
      <formula>0.789</formula>
    </cfRule>
    <cfRule type="cellIs" priority="42" operator="greaterThan" dxfId="1" stopIfTrue="1">
      <formula>0.789</formula>
    </cfRule>
  </conditionalFormatting>
  <conditionalFormatting sqref="H13">
    <cfRule type="cellIs" priority="43" operator="lessThanOrEqual" dxfId="0" stopIfTrue="1">
      <formula>0.789</formula>
    </cfRule>
    <cfRule type="cellIs" priority="44" operator="greaterThan" dxfId="1" stopIfTrue="1">
      <formula>0.789</formula>
    </cfRule>
  </conditionalFormatting>
  <conditionalFormatting sqref="H16">
    <cfRule type="cellIs" priority="45" operator="lessThanOrEqual" dxfId="0" stopIfTrue="1">
      <formula>0.789</formula>
    </cfRule>
    <cfRule type="cellIs" priority="46" operator="greaterThan" dxfId="1" stopIfTrue="1">
      <formula>0.789</formula>
    </cfRule>
  </conditionalFormatting>
  <conditionalFormatting sqref="H19">
    <cfRule type="cellIs" priority="47" operator="lessThanOrEqual" dxfId="0" stopIfTrue="1">
      <formula>0.789</formula>
    </cfRule>
    <cfRule type="cellIs" priority="48" operator="greaterThan" dxfId="1" stopIfTrue="1">
      <formula>0.789</formula>
    </cfRule>
  </conditionalFormatting>
  <conditionalFormatting sqref="H22">
    <cfRule type="cellIs" priority="49" operator="lessThanOrEqual" dxfId="0" stopIfTrue="1">
      <formula>0.789</formula>
    </cfRule>
    <cfRule type="cellIs" priority="50" operator="greaterThan" dxfId="1" stopIfTrue="1">
      <formula>0.789</formula>
    </cfRule>
  </conditionalFormatting>
  <conditionalFormatting sqref="H25">
    <cfRule type="cellIs" priority="51" operator="lessThanOrEqual" dxfId="0" stopIfTrue="1">
      <formula>0.789</formula>
    </cfRule>
    <cfRule type="cellIs" priority="52" operator="greaterThan" dxfId="1" stopIfTrue="1">
      <formula>0.789</formula>
    </cfRule>
  </conditionalFormatting>
  <conditionalFormatting sqref="H28">
    <cfRule type="cellIs" priority="53" operator="lessThanOrEqual" dxfId="0" stopIfTrue="1">
      <formula>0.789</formula>
    </cfRule>
    <cfRule type="cellIs" priority="54" operator="greaterThan" dxfId="1" stopIfTrue="1">
      <formula>0.789</formula>
    </cfRule>
  </conditionalFormatting>
  <conditionalFormatting sqref="H31">
    <cfRule type="cellIs" priority="55" operator="lessThanOrEqual" dxfId="0" stopIfTrue="1">
      <formula>0.789</formula>
    </cfRule>
    <cfRule type="cellIs" priority="56" operator="greaterThan" dxfId="1" stopIfTrue="1">
      <formula>0.789</formula>
    </cfRule>
  </conditionalFormatting>
  <conditionalFormatting sqref="H34">
    <cfRule type="cellIs" priority="57" operator="lessThanOrEqual" dxfId="0" stopIfTrue="1">
      <formula>0.789</formula>
    </cfRule>
    <cfRule type="cellIs" priority="58" operator="greaterThan" dxfId="1" stopIfTrue="1">
      <formula>0.789</formula>
    </cfRule>
  </conditionalFormatting>
  <conditionalFormatting sqref="H37">
    <cfRule type="cellIs" priority="59" operator="lessThanOrEqual" dxfId="0" stopIfTrue="1">
      <formula>0.789</formula>
    </cfRule>
    <cfRule type="cellIs" priority="60" operator="greaterThan" dxfId="1" stopIfTrue="1">
      <formula>0.789</formula>
    </cfRule>
  </conditionalFormatting>
  <conditionalFormatting sqref="H40">
    <cfRule type="cellIs" priority="61" operator="lessThanOrEqual" dxfId="0" stopIfTrue="1">
      <formula>0.789</formula>
    </cfRule>
    <cfRule type="cellIs" priority="62" operator="greaterThan" dxfId="1" stopIfTrue="1">
      <formula>0.789</formula>
    </cfRule>
  </conditionalFormatting>
  <conditionalFormatting sqref="H43">
    <cfRule type="cellIs" priority="63" operator="lessThanOrEqual" dxfId="0" stopIfTrue="1">
      <formula>0.789</formula>
    </cfRule>
    <cfRule type="cellIs" priority="64" operator="greaterThan" dxfId="1" stopIfTrue="1">
      <formula>0.789</formula>
    </cfRule>
  </conditionalFormatting>
  <conditionalFormatting sqref="H46">
    <cfRule type="cellIs" priority="65" operator="lessThanOrEqual" dxfId="0" stopIfTrue="1">
      <formula>0.789</formula>
    </cfRule>
    <cfRule type="cellIs" priority="66" operator="greaterThan" dxfId="1" stopIfTrue="1">
      <formula>0.789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M48"/>
  <sheetViews>
    <sheetView workbookViewId="0">
      <selection activeCell="A1" sqref="A1"/>
    </sheetView>
  </sheetViews>
  <sheetFormatPr baseColWidth="8" defaultRowHeight="15"/>
  <cols>
    <col width="2" customWidth="1" min="1" max="1"/>
    <col width="16.44" customWidth="1" min="2" max="2"/>
    <col width="16.44" customWidth="1" min="3" max="3"/>
    <col width="16.44" customWidth="1" min="4" max="4"/>
    <col width="16.44" customWidth="1" min="5" max="5"/>
    <col width="16.44" customWidth="1" min="6" max="6"/>
    <col width="16.44" customWidth="1" min="7" max="7"/>
    <col width="16.44" customWidth="1" min="8" max="8"/>
    <col width="16.44" customWidth="1" min="9" max="9"/>
    <col width="10" customWidth="1" min="11" max="11"/>
    <col width="10" customWidth="1" min="12" max="12"/>
    <col width="10" customWidth="1" min="13" max="13"/>
  </cols>
  <sheetData>
    <row r="3">
      <c r="C3" s="6" t="inlineStr">
        <is>
          <t>Slot No.</t>
        </is>
      </c>
      <c r="D3" s="6" t="inlineStr">
        <is>
          <t>Coordinate</t>
        </is>
      </c>
      <c r="E3" s="6" t="inlineStr">
        <is>
          <t>SL AVG Al%</t>
        </is>
      </c>
      <c r="F3" s="6" t="inlineStr">
        <is>
          <t>Wafer Average</t>
        </is>
      </c>
      <c r="G3" s="6" t="inlineStr">
        <is>
          <t>Run Average</t>
        </is>
      </c>
      <c r="H3" s="6" t="inlineStr">
        <is>
          <t>WW Uniformity</t>
        </is>
      </c>
      <c r="I3" s="6" t="inlineStr">
        <is>
          <t>W-W Uniformity</t>
        </is>
      </c>
      <c r="K3" s="2" t="inlineStr">
        <is>
          <t>SPECs (%)</t>
        </is>
      </c>
      <c r="L3" s="4" t="n"/>
      <c r="M3" s="5" t="n"/>
    </row>
    <row r="4">
      <c r="B4" s="13" t="inlineStr">
        <is>
          <t>V3103</t>
        </is>
      </c>
      <c r="C4" s="7" t="n">
        <v>1</v>
      </c>
      <c r="D4" s="7" t="n">
        <v>0</v>
      </c>
      <c r="E4" s="7" t="n">
        <v>24.5</v>
      </c>
      <c r="F4" s="7">
        <f>AVERAGE(E4:E6)</f>
        <v/>
      </c>
      <c r="G4" s="7">
        <f>AVERAGE(F4:F16)</f>
        <v/>
      </c>
      <c r="H4" s="7">
        <f>MAX(E4:E6)-MIN(E4:E6)</f>
        <v/>
      </c>
      <c r="I4" s="7">
        <f>MAX(F4:F16)-MIN(F4:F16)</f>
        <v/>
      </c>
      <c r="K4" s="6" t="inlineStr">
        <is>
          <t>Min</t>
        </is>
      </c>
      <c r="L4" s="6" t="inlineStr">
        <is>
          <t>Target</t>
        </is>
      </c>
      <c r="M4" s="6" t="inlineStr">
        <is>
          <t>Max</t>
        </is>
      </c>
    </row>
    <row r="5">
      <c r="B5" s="13" t="n"/>
      <c r="C5" s="7" t="n">
        <v>1</v>
      </c>
      <c r="D5" s="7" t="n">
        <v>45</v>
      </c>
      <c r="E5" s="7" t="n">
        <v>24.5</v>
      </c>
      <c r="F5" s="7" t="n"/>
      <c r="G5" s="7" t="n"/>
      <c r="H5" s="7" t="n"/>
      <c r="I5" s="7" t="n"/>
      <c r="K5" s="7" t="n">
        <v>46.82</v>
      </c>
      <c r="L5" s="7" t="n">
        <v>54.47</v>
      </c>
      <c r="M5" s="7" t="n">
        <v>62.12</v>
      </c>
    </row>
    <row r="6">
      <c r="B6" s="13" t="n"/>
      <c r="C6" s="7" t="n">
        <v>1</v>
      </c>
      <c r="D6" s="7" t="n">
        <v>93</v>
      </c>
      <c r="E6" s="7" t="n">
        <v>24.5</v>
      </c>
      <c r="F6" s="7" t="n"/>
      <c r="G6" s="7" t="n"/>
      <c r="H6" s="7" t="n"/>
      <c r="I6" s="7" t="n"/>
    </row>
    <row r="7">
      <c r="C7" s="7" t="n">
        <v>2</v>
      </c>
      <c r="D7" s="7" t="n">
        <v>0</v>
      </c>
      <c r="E7" s="7" t="n">
        <v>24.5</v>
      </c>
      <c r="F7" s="7">
        <f>AVERAGE(E7:E9)</f>
        <v/>
      </c>
      <c r="G7" s="7" t="n"/>
      <c r="H7" s="7">
        <f>MAX(E7:E9)-MIN(E7:E9)</f>
        <v/>
      </c>
      <c r="I7" s="7" t="n"/>
      <c r="K7" s="2" t="inlineStr">
        <is>
          <t>SPECs of Max-Min (%)</t>
        </is>
      </c>
      <c r="L7" s="4" t="n"/>
      <c r="M7" s="5" t="n"/>
    </row>
    <row r="8">
      <c r="C8" s="7" t="n">
        <v>2</v>
      </c>
      <c r="D8" s="7" t="n">
        <v>45</v>
      </c>
      <c r="E8" s="7" t="n">
        <v>24.5</v>
      </c>
      <c r="F8" s="7" t="n"/>
      <c r="G8" s="7" t="n"/>
      <c r="H8" s="7" t="n"/>
      <c r="I8" s="7" t="n"/>
      <c r="K8" s="6" t="inlineStr">
        <is>
          <t>WW</t>
        </is>
      </c>
      <c r="L8" s="6" t="inlineStr">
        <is>
          <t>W-2-W</t>
        </is>
      </c>
      <c r="M8" s="6" t="inlineStr">
        <is>
          <t>R-2-R</t>
        </is>
      </c>
    </row>
    <row r="9">
      <c r="C9" s="7" t="n">
        <v>2</v>
      </c>
      <c r="D9" s="7" t="n">
        <v>93</v>
      </c>
      <c r="E9" s="7" t="n">
        <v>24.5</v>
      </c>
      <c r="F9" s="7" t="n"/>
      <c r="G9" s="7" t="n"/>
      <c r="H9" s="7" t="n"/>
      <c r="I9" s="7" t="n"/>
      <c r="K9" s="7" t="n">
        <v>0.577</v>
      </c>
      <c r="L9" s="7" t="inlineStr">
        <is>
          <t>-</t>
        </is>
      </c>
      <c r="M9" s="7" t="inlineStr">
        <is>
          <t>-</t>
        </is>
      </c>
    </row>
    <row r="10">
      <c r="C10" s="7" t="n">
        <v>3</v>
      </c>
      <c r="D10" s="7" t="n">
        <v>0</v>
      </c>
      <c r="E10" s="7" t="n">
        <v>24.5</v>
      </c>
      <c r="F10" s="7">
        <f>AVERAGE(E10:E12)</f>
        <v/>
      </c>
      <c r="G10" s="7" t="n"/>
      <c r="H10" s="7">
        <f>MAX(E10:E12)-MIN(E10:E12)</f>
        <v/>
      </c>
      <c r="I10" s="7" t="n"/>
    </row>
    <row r="11">
      <c r="C11" s="7" t="n">
        <v>3</v>
      </c>
      <c r="D11" s="7" t="n">
        <v>45</v>
      </c>
      <c r="E11" s="7" t="n">
        <v>24.5</v>
      </c>
      <c r="F11" s="7" t="n"/>
      <c r="G11" s="7" t="n"/>
      <c r="H11" s="7" t="n"/>
      <c r="I11" s="7" t="n"/>
    </row>
    <row r="12">
      <c r="C12" s="7" t="n">
        <v>3</v>
      </c>
      <c r="D12" s="7" t="n">
        <v>93</v>
      </c>
      <c r="E12" s="7" t="n">
        <v>24.5</v>
      </c>
      <c r="F12" s="7" t="n"/>
      <c r="G12" s="7" t="n"/>
      <c r="H12" s="7" t="n"/>
      <c r="I12" s="7" t="n"/>
    </row>
    <row r="13">
      <c r="C13" s="7" t="n">
        <v>4</v>
      </c>
      <c r="D13" s="7" t="n">
        <v>0</v>
      </c>
      <c r="E13" s="7" t="n">
        <v>24.5</v>
      </c>
      <c r="F13" s="7">
        <f>AVERAGE(E13:E15)</f>
        <v/>
      </c>
      <c r="G13" s="7" t="n"/>
      <c r="H13" s="7">
        <f>MAX(E13:E15)-MIN(E13:E15)</f>
        <v/>
      </c>
      <c r="I13" s="7" t="n"/>
    </row>
    <row r="14">
      <c r="C14" s="7" t="n">
        <v>4</v>
      </c>
      <c r="D14" s="7" t="n">
        <v>45</v>
      </c>
      <c r="E14" s="7" t="n">
        <v>24.5</v>
      </c>
      <c r="F14" s="7" t="n"/>
      <c r="G14" s="7" t="n"/>
      <c r="H14" s="7" t="n"/>
      <c r="I14" s="7" t="n"/>
    </row>
    <row r="15">
      <c r="C15" s="7" t="n">
        <v>4</v>
      </c>
      <c r="D15" s="7" t="n">
        <v>93</v>
      </c>
      <c r="E15" s="7" t="n">
        <v>24.5</v>
      </c>
      <c r="F15" s="7" t="n"/>
      <c r="G15" s="7" t="n"/>
      <c r="H15" s="7" t="n"/>
      <c r="I15" s="7" t="n"/>
    </row>
    <row r="16">
      <c r="C16" s="7" t="n">
        <v>5</v>
      </c>
      <c r="D16" s="7" t="n">
        <v>0</v>
      </c>
      <c r="E16" s="7" t="n">
        <v>24.5</v>
      </c>
      <c r="F16" s="7">
        <f>AVERAGE(E16:E18)</f>
        <v/>
      </c>
      <c r="G16" s="7" t="n"/>
      <c r="H16" s="7">
        <f>MAX(E16:E18)-MIN(E16:E18)</f>
        <v/>
      </c>
      <c r="I16" s="7" t="n"/>
    </row>
    <row r="17">
      <c r="C17" s="7" t="n">
        <v>5</v>
      </c>
      <c r="D17" s="7" t="n">
        <v>45</v>
      </c>
      <c r="E17" s="7" t="n">
        <v>24.5</v>
      </c>
      <c r="F17" s="7" t="n"/>
      <c r="G17" s="7" t="n"/>
      <c r="H17" s="7" t="n"/>
      <c r="I17" s="7" t="n"/>
    </row>
    <row r="18">
      <c r="C18" s="7" t="n">
        <v>5</v>
      </c>
      <c r="D18" s="7" t="n">
        <v>93</v>
      </c>
      <c r="E18" s="7" t="n">
        <v>24.5</v>
      </c>
      <c r="F18" s="7" t="n"/>
      <c r="G18" s="7" t="n"/>
      <c r="H18" s="7" t="n"/>
      <c r="I18" s="7" t="n"/>
    </row>
    <row r="19">
      <c r="B19" s="13" t="inlineStr">
        <is>
          <t>V3103</t>
        </is>
      </c>
      <c r="C19" s="7" t="n">
        <v>1</v>
      </c>
      <c r="D19" s="7" t="n">
        <v>0</v>
      </c>
      <c r="E19" s="7" t="n">
        <v>24.5</v>
      </c>
      <c r="F19" s="7">
        <f>AVERAGE(E19:E21)</f>
        <v/>
      </c>
      <c r="G19" s="7">
        <f>AVERAGE(F19:F31)</f>
        <v/>
      </c>
      <c r="H19" s="7">
        <f>MAX(E19:E21)-MIN(E19:E21)</f>
        <v/>
      </c>
      <c r="I19" s="7">
        <f>MAX(F19:F31)-MIN(F19:F31)</f>
        <v/>
      </c>
    </row>
    <row r="20">
      <c r="B20" s="13" t="n"/>
      <c r="C20" s="7" t="n">
        <v>1</v>
      </c>
      <c r="D20" s="7" t="n">
        <v>45</v>
      </c>
      <c r="E20" s="7" t="n">
        <v>24.5</v>
      </c>
      <c r="F20" s="7" t="n"/>
      <c r="G20" s="7" t="n"/>
      <c r="H20" s="7" t="n"/>
      <c r="I20" s="7" t="n"/>
    </row>
    <row r="21">
      <c r="B21" s="13" t="n"/>
      <c r="C21" s="7" t="n">
        <v>1</v>
      </c>
      <c r="D21" s="7" t="n">
        <v>93</v>
      </c>
      <c r="E21" s="7" t="n">
        <v>24.5</v>
      </c>
      <c r="F21" s="7" t="n"/>
      <c r="G21" s="7" t="n"/>
      <c r="H21" s="7" t="n"/>
      <c r="I21" s="7" t="n"/>
    </row>
    <row r="22">
      <c r="C22" s="7" t="n">
        <v>2</v>
      </c>
      <c r="D22" s="7" t="n">
        <v>0</v>
      </c>
      <c r="E22" s="7" t="n">
        <v>24.5</v>
      </c>
      <c r="F22" s="7">
        <f>AVERAGE(E22:E24)</f>
        <v/>
      </c>
      <c r="G22" s="7" t="n"/>
      <c r="H22" s="7">
        <f>MAX(E22:E24)-MIN(E22:E24)</f>
        <v/>
      </c>
      <c r="I22" s="7" t="n"/>
    </row>
    <row r="23">
      <c r="C23" s="7" t="n">
        <v>2</v>
      </c>
      <c r="D23" s="7" t="n">
        <v>45</v>
      </c>
      <c r="E23" s="7" t="n">
        <v>24.5</v>
      </c>
      <c r="F23" s="7" t="n"/>
      <c r="G23" s="7" t="n"/>
      <c r="H23" s="7" t="n"/>
      <c r="I23" s="7" t="n"/>
    </row>
    <row r="24">
      <c r="C24" s="7" t="n">
        <v>2</v>
      </c>
      <c r="D24" s="7" t="n">
        <v>93</v>
      </c>
      <c r="E24" s="7" t="n">
        <v>24.5</v>
      </c>
      <c r="F24" s="7" t="n"/>
      <c r="G24" s="7" t="n"/>
      <c r="H24" s="7" t="n"/>
      <c r="I24" s="7" t="n"/>
    </row>
    <row r="25">
      <c r="C25" s="7" t="n">
        <v>3</v>
      </c>
      <c r="D25" s="7" t="n">
        <v>0</v>
      </c>
      <c r="E25" s="7" t="n">
        <v>24.5</v>
      </c>
      <c r="F25" s="7">
        <f>AVERAGE(E25:E27)</f>
        <v/>
      </c>
      <c r="G25" s="7" t="n"/>
      <c r="H25" s="7">
        <f>MAX(E25:E27)-MIN(E25:E27)</f>
        <v/>
      </c>
      <c r="I25" s="7" t="n"/>
    </row>
    <row r="26">
      <c r="C26" s="7" t="n">
        <v>3</v>
      </c>
      <c r="D26" s="7" t="n">
        <v>45</v>
      </c>
      <c r="E26" s="7" t="n">
        <v>24.5</v>
      </c>
      <c r="F26" s="7" t="n"/>
      <c r="G26" s="7" t="n"/>
      <c r="H26" s="7" t="n"/>
      <c r="I26" s="7" t="n"/>
    </row>
    <row r="27">
      <c r="C27" s="7" t="n">
        <v>3</v>
      </c>
      <c r="D27" s="7" t="n">
        <v>93</v>
      </c>
      <c r="E27" s="7" t="n">
        <v>24.5</v>
      </c>
      <c r="F27" s="7" t="n"/>
      <c r="G27" s="7" t="n"/>
      <c r="H27" s="7" t="n"/>
      <c r="I27" s="7" t="n"/>
    </row>
    <row r="28">
      <c r="C28" s="7" t="n">
        <v>4</v>
      </c>
      <c r="D28" s="7" t="n">
        <v>0</v>
      </c>
      <c r="E28" s="7" t="n">
        <v>24.5</v>
      </c>
      <c r="F28" s="7">
        <f>AVERAGE(E28:E30)</f>
        <v/>
      </c>
      <c r="G28" s="7" t="n"/>
      <c r="H28" s="7">
        <f>MAX(E28:E30)-MIN(E28:E30)</f>
        <v/>
      </c>
      <c r="I28" s="7" t="n"/>
    </row>
    <row r="29">
      <c r="C29" s="7" t="n">
        <v>4</v>
      </c>
      <c r="D29" s="7" t="n">
        <v>45</v>
      </c>
      <c r="E29" s="7" t="n">
        <v>24.5</v>
      </c>
      <c r="F29" s="7" t="n"/>
      <c r="G29" s="7" t="n"/>
      <c r="H29" s="7" t="n"/>
      <c r="I29" s="7" t="n"/>
    </row>
    <row r="30">
      <c r="C30" s="7" t="n">
        <v>4</v>
      </c>
      <c r="D30" s="7" t="n">
        <v>93</v>
      </c>
      <c r="E30" s="7" t="n">
        <v>24.5</v>
      </c>
      <c r="F30" s="7" t="n"/>
      <c r="G30" s="7" t="n"/>
      <c r="H30" s="7" t="n"/>
      <c r="I30" s="7" t="n"/>
    </row>
    <row r="31">
      <c r="C31" s="7" t="n">
        <v>5</v>
      </c>
      <c r="D31" s="7" t="n">
        <v>0</v>
      </c>
      <c r="E31" s="7" t="n">
        <v>24.5</v>
      </c>
      <c r="F31" s="7">
        <f>AVERAGE(E31:E33)</f>
        <v/>
      </c>
      <c r="G31" s="7" t="n"/>
      <c r="H31" s="7">
        <f>MAX(E31:E33)-MIN(E31:E33)</f>
        <v/>
      </c>
      <c r="I31" s="7" t="n"/>
    </row>
    <row r="32">
      <c r="C32" s="7" t="n">
        <v>5</v>
      </c>
      <c r="D32" s="7" t="n">
        <v>45</v>
      </c>
      <c r="E32" s="7" t="n">
        <v>24.5</v>
      </c>
      <c r="F32" s="7" t="n"/>
      <c r="G32" s="7" t="n"/>
      <c r="H32" s="7" t="n"/>
      <c r="I32" s="7" t="n"/>
    </row>
    <row r="33">
      <c r="C33" s="7" t="n">
        <v>5</v>
      </c>
      <c r="D33" s="7" t="n">
        <v>93</v>
      </c>
      <c r="E33" s="7" t="n">
        <v>24.5</v>
      </c>
      <c r="F33" s="7" t="n"/>
      <c r="G33" s="7" t="n"/>
      <c r="H33" s="7" t="n"/>
      <c r="I33" s="7" t="n"/>
    </row>
    <row r="34">
      <c r="B34" s="13" t="inlineStr">
        <is>
          <t>V3103</t>
        </is>
      </c>
      <c r="C34" s="7" t="n">
        <v>1</v>
      </c>
      <c r="D34" s="7" t="n">
        <v>0</v>
      </c>
      <c r="E34" s="7" t="n">
        <v>24.5</v>
      </c>
      <c r="F34" s="7">
        <f>AVERAGE(E34:E36)</f>
        <v/>
      </c>
      <c r="G34" s="7">
        <f>AVERAGE(F34:F46)</f>
        <v/>
      </c>
      <c r="H34" s="7">
        <f>MAX(E34:E36)-MIN(E34:E36)</f>
        <v/>
      </c>
      <c r="I34" s="7">
        <f>MAX(F34:F46)-MIN(F34:F46)</f>
        <v/>
      </c>
    </row>
    <row r="35">
      <c r="B35" s="13" t="n"/>
      <c r="C35" s="7" t="n">
        <v>1</v>
      </c>
      <c r="D35" s="7" t="n">
        <v>45</v>
      </c>
      <c r="E35" s="7" t="n">
        <v>24.5</v>
      </c>
      <c r="F35" s="7" t="n"/>
      <c r="G35" s="7" t="n"/>
      <c r="H35" s="7" t="n"/>
      <c r="I35" s="7" t="n"/>
    </row>
    <row r="36">
      <c r="B36" s="13" t="n"/>
      <c r="C36" s="7" t="n">
        <v>1</v>
      </c>
      <c r="D36" s="7" t="n">
        <v>93</v>
      </c>
      <c r="E36" s="7" t="n">
        <v>24.5</v>
      </c>
      <c r="F36" s="7" t="n"/>
      <c r="G36" s="7" t="n"/>
      <c r="H36" s="7" t="n"/>
      <c r="I36" s="7" t="n"/>
    </row>
    <row r="37">
      <c r="C37" s="7" t="n">
        <v>2</v>
      </c>
      <c r="D37" s="7" t="n">
        <v>0</v>
      </c>
      <c r="E37" s="7" t="n">
        <v>24.5</v>
      </c>
      <c r="F37" s="7">
        <f>AVERAGE(E37:E39)</f>
        <v/>
      </c>
      <c r="G37" s="7" t="n"/>
      <c r="H37" s="7">
        <f>MAX(E37:E39)-MIN(E37:E39)</f>
        <v/>
      </c>
      <c r="I37" s="7" t="n"/>
    </row>
    <row r="38">
      <c r="C38" s="7" t="n">
        <v>2</v>
      </c>
      <c r="D38" s="7" t="n">
        <v>45</v>
      </c>
      <c r="E38" s="7" t="n">
        <v>24.5</v>
      </c>
      <c r="F38" s="7" t="n"/>
      <c r="G38" s="7" t="n"/>
      <c r="H38" s="7" t="n"/>
      <c r="I38" s="7" t="n"/>
    </row>
    <row r="39">
      <c r="C39" s="7" t="n">
        <v>2</v>
      </c>
      <c r="D39" s="7" t="n">
        <v>93</v>
      </c>
      <c r="E39" s="7" t="n">
        <v>24.5</v>
      </c>
      <c r="F39" s="7" t="n"/>
      <c r="G39" s="7" t="n"/>
      <c r="H39" s="7" t="n"/>
      <c r="I39" s="7" t="n"/>
    </row>
    <row r="40">
      <c r="C40" s="7" t="n">
        <v>3</v>
      </c>
      <c r="D40" s="7" t="n">
        <v>0</v>
      </c>
      <c r="E40" s="7" t="n">
        <v>24.5</v>
      </c>
      <c r="F40" s="7">
        <f>AVERAGE(E40:E42)</f>
        <v/>
      </c>
      <c r="G40" s="7" t="n"/>
      <c r="H40" s="7">
        <f>MAX(E40:E42)-MIN(E40:E42)</f>
        <v/>
      </c>
      <c r="I40" s="7" t="n"/>
    </row>
    <row r="41">
      <c r="C41" s="7" t="n">
        <v>3</v>
      </c>
      <c r="D41" s="7" t="n">
        <v>45</v>
      </c>
      <c r="E41" s="7" t="n">
        <v>24.5</v>
      </c>
      <c r="F41" s="7" t="n"/>
      <c r="G41" s="7" t="n"/>
      <c r="H41" s="7" t="n"/>
      <c r="I41" s="7" t="n"/>
    </row>
    <row r="42">
      <c r="C42" s="7" t="n">
        <v>3</v>
      </c>
      <c r="D42" s="7" t="n">
        <v>93</v>
      </c>
      <c r="E42" s="7" t="n">
        <v>24.5</v>
      </c>
      <c r="F42" s="7" t="n"/>
      <c r="G42" s="7" t="n"/>
      <c r="H42" s="7" t="n"/>
      <c r="I42" s="7" t="n"/>
    </row>
    <row r="43">
      <c r="C43" s="7" t="n">
        <v>4</v>
      </c>
      <c r="D43" s="7" t="n">
        <v>0</v>
      </c>
      <c r="E43" s="7" t="n">
        <v>24.5</v>
      </c>
      <c r="F43" s="7">
        <f>AVERAGE(E43:E45)</f>
        <v/>
      </c>
      <c r="G43" s="7" t="n"/>
      <c r="H43" s="7">
        <f>MAX(E43:E45)-MIN(E43:E45)</f>
        <v/>
      </c>
      <c r="I43" s="7" t="n"/>
    </row>
    <row r="44">
      <c r="C44" s="7" t="n">
        <v>4</v>
      </c>
      <c r="D44" s="7" t="n">
        <v>45</v>
      </c>
      <c r="E44" s="7" t="n">
        <v>24.5</v>
      </c>
      <c r="F44" s="7" t="n"/>
      <c r="G44" s="7" t="n"/>
      <c r="H44" s="7" t="n"/>
      <c r="I44" s="7" t="n"/>
    </row>
    <row r="45">
      <c r="C45" s="7" t="n">
        <v>4</v>
      </c>
      <c r="D45" s="7" t="n">
        <v>93</v>
      </c>
      <c r="E45" s="7" t="n">
        <v>24.5</v>
      </c>
      <c r="F45" s="7" t="n"/>
      <c r="G45" s="7" t="n"/>
      <c r="H45" s="7" t="n"/>
      <c r="I45" s="7" t="n"/>
    </row>
    <row r="46">
      <c r="C46" s="7" t="n">
        <v>5</v>
      </c>
      <c r="D46" s="7" t="n">
        <v>0</v>
      </c>
      <c r="E46" s="7" t="n">
        <v>24.5</v>
      </c>
      <c r="F46" s="7">
        <f>AVERAGE(E46:E48)</f>
        <v/>
      </c>
      <c r="G46" s="7" t="n"/>
      <c r="H46" s="7">
        <f>MAX(E46:E48)-MIN(E46:E48)</f>
        <v/>
      </c>
      <c r="I46" s="7" t="n"/>
    </row>
    <row r="47">
      <c r="C47" s="7" t="n">
        <v>5</v>
      </c>
      <c r="D47" s="7" t="n">
        <v>45</v>
      </c>
      <c r="E47" s="7" t="n">
        <v>24.5</v>
      </c>
      <c r="F47" s="7" t="n"/>
      <c r="G47" s="7" t="n"/>
      <c r="H47" s="7" t="n"/>
      <c r="I47" s="7" t="n"/>
    </row>
    <row r="48">
      <c r="C48" s="7" t="n">
        <v>5</v>
      </c>
      <c r="D48" s="7" t="n">
        <v>93</v>
      </c>
      <c r="E48" s="7" t="n">
        <v>24.5</v>
      </c>
      <c r="F48" s="7" t="n"/>
      <c r="G48" s="7" t="n"/>
      <c r="H48" s="7" t="n"/>
      <c r="I48" s="7" t="n"/>
    </row>
  </sheetData>
  <mergeCells count="5">
    <mergeCell ref="B4:B6"/>
    <mergeCell ref="B34:B36"/>
    <mergeCell ref="B19:B21"/>
    <mergeCell ref="K3:M3"/>
    <mergeCell ref="K7:M7"/>
  </mergeCells>
  <conditionalFormatting sqref="F4">
    <cfRule type="cellIs" priority="1" operator="between" dxfId="0" stopIfTrue="1">
      <formula>46.82</formula>
      <formula>62.12</formula>
    </cfRule>
    <cfRule type="cellIs" priority="2" operator="notBetween" dxfId="1" stopIfTrue="1">
      <formula>46.82</formula>
      <formula>62.12</formula>
    </cfRule>
  </conditionalFormatting>
  <conditionalFormatting sqref="F7">
    <cfRule type="cellIs" priority="3" operator="between" dxfId="0" stopIfTrue="1">
      <formula>46.82</formula>
      <formula>62.12</formula>
    </cfRule>
    <cfRule type="cellIs" priority="4" operator="notBetween" dxfId="1" stopIfTrue="1">
      <formula>46.82</formula>
      <formula>62.12</formula>
    </cfRule>
  </conditionalFormatting>
  <conditionalFormatting sqref="F10">
    <cfRule type="cellIs" priority="5" operator="between" dxfId="0" stopIfTrue="1">
      <formula>46.82</formula>
      <formula>62.12</formula>
    </cfRule>
    <cfRule type="cellIs" priority="6" operator="notBetween" dxfId="1" stopIfTrue="1">
      <formula>46.82</formula>
      <formula>62.12</formula>
    </cfRule>
  </conditionalFormatting>
  <conditionalFormatting sqref="F13">
    <cfRule type="cellIs" priority="7" operator="between" dxfId="0" stopIfTrue="1">
      <formula>46.82</formula>
      <formula>62.12</formula>
    </cfRule>
    <cfRule type="cellIs" priority="8" operator="notBetween" dxfId="1" stopIfTrue="1">
      <formula>46.82</formula>
      <formula>62.12</formula>
    </cfRule>
  </conditionalFormatting>
  <conditionalFormatting sqref="F16">
    <cfRule type="cellIs" priority="9" operator="between" dxfId="0" stopIfTrue="1">
      <formula>46.82</formula>
      <formula>62.12</formula>
    </cfRule>
    <cfRule type="cellIs" priority="10" operator="notBetween" dxfId="1" stopIfTrue="1">
      <formula>46.82</formula>
      <formula>62.12</formula>
    </cfRule>
  </conditionalFormatting>
  <conditionalFormatting sqref="F19">
    <cfRule type="cellIs" priority="11" operator="between" dxfId="0" stopIfTrue="1">
      <formula>46.82</formula>
      <formula>62.12</formula>
    </cfRule>
    <cfRule type="cellIs" priority="12" operator="notBetween" dxfId="1" stopIfTrue="1">
      <formula>46.82</formula>
      <formula>62.12</formula>
    </cfRule>
  </conditionalFormatting>
  <conditionalFormatting sqref="F22">
    <cfRule type="cellIs" priority="13" operator="between" dxfId="0" stopIfTrue="1">
      <formula>46.82</formula>
      <formula>62.12</formula>
    </cfRule>
    <cfRule type="cellIs" priority="14" operator="notBetween" dxfId="1" stopIfTrue="1">
      <formula>46.82</formula>
      <formula>62.12</formula>
    </cfRule>
  </conditionalFormatting>
  <conditionalFormatting sqref="F25">
    <cfRule type="cellIs" priority="15" operator="between" dxfId="0" stopIfTrue="1">
      <formula>46.82</formula>
      <formula>62.12</formula>
    </cfRule>
    <cfRule type="cellIs" priority="16" operator="notBetween" dxfId="1" stopIfTrue="1">
      <formula>46.82</formula>
      <formula>62.12</formula>
    </cfRule>
  </conditionalFormatting>
  <conditionalFormatting sqref="F28">
    <cfRule type="cellIs" priority="17" operator="between" dxfId="0" stopIfTrue="1">
      <formula>46.82</formula>
      <formula>62.12</formula>
    </cfRule>
    <cfRule type="cellIs" priority="18" operator="notBetween" dxfId="1" stopIfTrue="1">
      <formula>46.82</formula>
      <formula>62.12</formula>
    </cfRule>
  </conditionalFormatting>
  <conditionalFormatting sqref="F31">
    <cfRule type="cellIs" priority="19" operator="between" dxfId="0" stopIfTrue="1">
      <formula>46.82</formula>
      <formula>62.12</formula>
    </cfRule>
    <cfRule type="cellIs" priority="20" operator="notBetween" dxfId="1" stopIfTrue="1">
      <formula>46.82</formula>
      <formula>62.12</formula>
    </cfRule>
  </conditionalFormatting>
  <conditionalFormatting sqref="F34">
    <cfRule type="cellIs" priority="21" operator="between" dxfId="0" stopIfTrue="1">
      <formula>46.82</formula>
      <formula>62.12</formula>
    </cfRule>
    <cfRule type="cellIs" priority="22" operator="notBetween" dxfId="1" stopIfTrue="1">
      <formula>46.82</formula>
      <formula>62.12</formula>
    </cfRule>
  </conditionalFormatting>
  <conditionalFormatting sqref="F37">
    <cfRule type="cellIs" priority="23" operator="between" dxfId="0" stopIfTrue="1">
      <formula>46.82</formula>
      <formula>62.12</formula>
    </cfRule>
    <cfRule type="cellIs" priority="24" operator="notBetween" dxfId="1" stopIfTrue="1">
      <formula>46.82</formula>
      <formula>62.12</formula>
    </cfRule>
  </conditionalFormatting>
  <conditionalFormatting sqref="F40">
    <cfRule type="cellIs" priority="25" operator="between" dxfId="0" stopIfTrue="1">
      <formula>46.82</formula>
      <formula>62.12</formula>
    </cfRule>
    <cfRule type="cellIs" priority="26" operator="notBetween" dxfId="1" stopIfTrue="1">
      <formula>46.82</formula>
      <formula>62.12</formula>
    </cfRule>
  </conditionalFormatting>
  <conditionalFormatting sqref="F43">
    <cfRule type="cellIs" priority="27" operator="between" dxfId="0" stopIfTrue="1">
      <formula>46.82</formula>
      <formula>62.12</formula>
    </cfRule>
    <cfRule type="cellIs" priority="28" operator="notBetween" dxfId="1" stopIfTrue="1">
      <formula>46.82</formula>
      <formula>62.12</formula>
    </cfRule>
  </conditionalFormatting>
  <conditionalFormatting sqref="F46">
    <cfRule type="cellIs" priority="29" operator="between" dxfId="0" stopIfTrue="1">
      <formula>46.82</formula>
      <formula>62.12</formula>
    </cfRule>
    <cfRule type="cellIs" priority="30" operator="notBetween" dxfId="1" stopIfTrue="1">
      <formula>46.82</formula>
      <formula>62.12</formula>
    </cfRule>
  </conditionalFormatting>
  <conditionalFormatting sqref="G4">
    <cfRule type="cellIs" priority="31" operator="between" dxfId="0" stopIfTrue="1">
      <formula>46.82</formula>
      <formula>62.12</formula>
    </cfRule>
    <cfRule type="cellIs" priority="32" operator="notBetween" dxfId="1" stopIfTrue="1">
      <formula>46.82</formula>
      <formula>62.12</formula>
    </cfRule>
  </conditionalFormatting>
  <conditionalFormatting sqref="G19">
    <cfRule type="cellIs" priority="33" operator="between" dxfId="0" stopIfTrue="1">
      <formula>46.82</formula>
      <formula>62.12</formula>
    </cfRule>
    <cfRule type="cellIs" priority="34" operator="notBetween" dxfId="1" stopIfTrue="1">
      <formula>46.82</formula>
      <formula>62.12</formula>
    </cfRule>
  </conditionalFormatting>
  <conditionalFormatting sqref="G34">
    <cfRule type="cellIs" priority="35" operator="between" dxfId="0" stopIfTrue="1">
      <formula>46.82</formula>
      <formula>62.12</formula>
    </cfRule>
    <cfRule type="cellIs" priority="36" operator="notBetween" dxfId="1" stopIfTrue="1">
      <formula>46.82</formula>
      <formula>62.12</formula>
    </cfRule>
  </conditionalFormatting>
  <conditionalFormatting sqref="H4">
    <cfRule type="cellIs" priority="37" operator="lessThanOrEqual" dxfId="0" stopIfTrue="1">
      <formula>0.577</formula>
    </cfRule>
    <cfRule type="cellIs" priority="38" operator="greaterThan" dxfId="1" stopIfTrue="1">
      <formula>0.577</formula>
    </cfRule>
  </conditionalFormatting>
  <conditionalFormatting sqref="H7">
    <cfRule type="cellIs" priority="39" operator="lessThanOrEqual" dxfId="0" stopIfTrue="1">
      <formula>0.577</formula>
    </cfRule>
    <cfRule type="cellIs" priority="40" operator="greaterThan" dxfId="1" stopIfTrue="1">
      <formula>0.577</formula>
    </cfRule>
  </conditionalFormatting>
  <conditionalFormatting sqref="H10">
    <cfRule type="cellIs" priority="41" operator="lessThanOrEqual" dxfId="0" stopIfTrue="1">
      <formula>0.577</formula>
    </cfRule>
    <cfRule type="cellIs" priority="42" operator="greaterThan" dxfId="1" stopIfTrue="1">
      <formula>0.577</formula>
    </cfRule>
  </conditionalFormatting>
  <conditionalFormatting sqref="H13">
    <cfRule type="cellIs" priority="43" operator="lessThanOrEqual" dxfId="0" stopIfTrue="1">
      <formula>0.577</formula>
    </cfRule>
    <cfRule type="cellIs" priority="44" operator="greaterThan" dxfId="1" stopIfTrue="1">
      <formula>0.577</formula>
    </cfRule>
  </conditionalFormatting>
  <conditionalFormatting sqref="H16">
    <cfRule type="cellIs" priority="45" operator="lessThanOrEqual" dxfId="0" stopIfTrue="1">
      <formula>0.577</formula>
    </cfRule>
    <cfRule type="cellIs" priority="46" operator="greaterThan" dxfId="1" stopIfTrue="1">
      <formula>0.577</formula>
    </cfRule>
  </conditionalFormatting>
  <conditionalFormatting sqref="H19">
    <cfRule type="cellIs" priority="47" operator="lessThanOrEqual" dxfId="0" stopIfTrue="1">
      <formula>0.577</formula>
    </cfRule>
    <cfRule type="cellIs" priority="48" operator="greaterThan" dxfId="1" stopIfTrue="1">
      <formula>0.577</formula>
    </cfRule>
  </conditionalFormatting>
  <conditionalFormatting sqref="H22">
    <cfRule type="cellIs" priority="49" operator="lessThanOrEqual" dxfId="0" stopIfTrue="1">
      <formula>0.577</formula>
    </cfRule>
    <cfRule type="cellIs" priority="50" operator="greaterThan" dxfId="1" stopIfTrue="1">
      <formula>0.577</formula>
    </cfRule>
  </conditionalFormatting>
  <conditionalFormatting sqref="H25">
    <cfRule type="cellIs" priority="51" operator="lessThanOrEqual" dxfId="0" stopIfTrue="1">
      <formula>0.577</formula>
    </cfRule>
    <cfRule type="cellIs" priority="52" operator="greaterThan" dxfId="1" stopIfTrue="1">
      <formula>0.577</formula>
    </cfRule>
  </conditionalFormatting>
  <conditionalFormatting sqref="H28">
    <cfRule type="cellIs" priority="53" operator="lessThanOrEqual" dxfId="0" stopIfTrue="1">
      <formula>0.577</formula>
    </cfRule>
    <cfRule type="cellIs" priority="54" operator="greaterThan" dxfId="1" stopIfTrue="1">
      <formula>0.577</formula>
    </cfRule>
  </conditionalFormatting>
  <conditionalFormatting sqref="H31">
    <cfRule type="cellIs" priority="55" operator="lessThanOrEqual" dxfId="0" stopIfTrue="1">
      <formula>0.577</formula>
    </cfRule>
    <cfRule type="cellIs" priority="56" operator="greaterThan" dxfId="1" stopIfTrue="1">
      <formula>0.577</formula>
    </cfRule>
  </conditionalFormatting>
  <conditionalFormatting sqref="H34">
    <cfRule type="cellIs" priority="57" operator="lessThanOrEqual" dxfId="0" stopIfTrue="1">
      <formula>0.577</formula>
    </cfRule>
    <cfRule type="cellIs" priority="58" operator="greaterThan" dxfId="1" stopIfTrue="1">
      <formula>0.577</formula>
    </cfRule>
  </conditionalFormatting>
  <conditionalFormatting sqref="H37">
    <cfRule type="cellIs" priority="59" operator="lessThanOrEqual" dxfId="0" stopIfTrue="1">
      <formula>0.577</formula>
    </cfRule>
    <cfRule type="cellIs" priority="60" operator="greaterThan" dxfId="1" stopIfTrue="1">
      <formula>0.577</formula>
    </cfRule>
  </conditionalFormatting>
  <conditionalFormatting sqref="H40">
    <cfRule type="cellIs" priority="61" operator="lessThanOrEqual" dxfId="0" stopIfTrue="1">
      <formula>0.577</formula>
    </cfRule>
    <cfRule type="cellIs" priority="62" operator="greaterThan" dxfId="1" stopIfTrue="1">
      <formula>0.577</formula>
    </cfRule>
  </conditionalFormatting>
  <conditionalFormatting sqref="H43">
    <cfRule type="cellIs" priority="63" operator="lessThanOrEqual" dxfId="0" stopIfTrue="1">
      <formula>0.577</formula>
    </cfRule>
    <cfRule type="cellIs" priority="64" operator="greaterThan" dxfId="1" stopIfTrue="1">
      <formula>0.577</formula>
    </cfRule>
  </conditionalFormatting>
  <conditionalFormatting sqref="H46">
    <cfRule type="cellIs" priority="65" operator="lessThanOrEqual" dxfId="0" stopIfTrue="1">
      <formula>0.577</formula>
    </cfRule>
    <cfRule type="cellIs" priority="66" operator="greaterThan" dxfId="1" stopIfTrue="1">
      <formula>0.577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M48"/>
  <sheetViews>
    <sheetView workbookViewId="0">
      <selection activeCell="A1" sqref="A1"/>
    </sheetView>
  </sheetViews>
  <sheetFormatPr baseColWidth="8" defaultRowHeight="15"/>
  <cols>
    <col width="2" customWidth="1" min="1" max="1"/>
    <col width="16.44" customWidth="1" min="2" max="2"/>
    <col width="16.44" customWidth="1" min="3" max="3"/>
    <col width="16.44" customWidth="1" min="4" max="4"/>
    <col width="16.44" customWidth="1" min="5" max="5"/>
    <col width="16.44" customWidth="1" min="6" max="6"/>
    <col width="16.44" customWidth="1" min="7" max="7"/>
    <col width="16.44" customWidth="1" min="8" max="8"/>
    <col width="16.44" customWidth="1" min="9" max="9"/>
    <col width="10" customWidth="1" min="11" max="11"/>
    <col width="10" customWidth="1" min="12" max="12"/>
    <col width="10" customWidth="1" min="13" max="13"/>
  </cols>
  <sheetData>
    <row r="3">
      <c r="C3" s="6" t="inlineStr">
        <is>
          <t>Slot No.</t>
        </is>
      </c>
      <c r="D3" s="6" t="inlineStr">
        <is>
          <t>Coordinate</t>
        </is>
      </c>
      <c r="E3" s="6" t="inlineStr">
        <is>
          <t>C-AlGaN AVG Al%</t>
        </is>
      </c>
      <c r="F3" s="6" t="inlineStr">
        <is>
          <t>Wafer Average</t>
        </is>
      </c>
      <c r="G3" s="6" t="inlineStr">
        <is>
          <t>Run Average</t>
        </is>
      </c>
      <c r="H3" s="6" t="inlineStr">
        <is>
          <t>WW Uniformity</t>
        </is>
      </c>
      <c r="I3" s="6" t="inlineStr">
        <is>
          <t>W-W Uniformity</t>
        </is>
      </c>
      <c r="K3" s="2" t="inlineStr">
        <is>
          <t>SPECs (%)</t>
        </is>
      </c>
      <c r="L3" s="4" t="n"/>
      <c r="M3" s="5" t="n"/>
    </row>
    <row r="4">
      <c r="B4" s="13" t="inlineStr">
        <is>
          <t>V3103</t>
        </is>
      </c>
      <c r="C4" s="7" t="n">
        <v>1</v>
      </c>
      <c r="D4" s="7" t="n">
        <v>0</v>
      </c>
      <c r="E4" s="7" t="n">
        <v>0.01502347417840375</v>
      </c>
      <c r="F4" s="7">
        <f>AVERAGE(E4:E6)</f>
        <v/>
      </c>
      <c r="G4" s="7">
        <f>AVERAGE(F4:F16)</f>
        <v/>
      </c>
      <c r="H4" s="7">
        <f>MAX(E4:E6)-MIN(E4:E6)</f>
        <v/>
      </c>
      <c r="I4" s="7">
        <f>MAX(F4:F16)-MIN(F4:F16)</f>
        <v/>
      </c>
      <c r="K4" s="6" t="inlineStr">
        <is>
          <t>Min</t>
        </is>
      </c>
      <c r="L4" s="6" t="inlineStr">
        <is>
          <t>Target</t>
        </is>
      </c>
      <c r="M4" s="6" t="inlineStr">
        <is>
          <t>Max</t>
        </is>
      </c>
    </row>
    <row r="5">
      <c r="B5" s="13" t="n"/>
      <c r="C5" s="7" t="n">
        <v>1</v>
      </c>
      <c r="D5" s="7" t="n">
        <v>45</v>
      </c>
      <c r="E5" s="7" t="n">
        <v>0.01502347417840375</v>
      </c>
      <c r="F5" s="7" t="n"/>
      <c r="G5" s="7" t="n"/>
      <c r="H5" s="7" t="n"/>
      <c r="I5" s="7" t="n"/>
      <c r="K5" s="7" t="n">
        <v>55.55</v>
      </c>
      <c r="L5" s="7" t="n">
        <v>63.39</v>
      </c>
      <c r="M5" s="7" t="n">
        <v>71.23</v>
      </c>
    </row>
    <row r="6">
      <c r="B6" s="13" t="n"/>
      <c r="C6" s="7" t="n">
        <v>1</v>
      </c>
      <c r="D6" s="7" t="n">
        <v>93</v>
      </c>
      <c r="E6" s="7" t="n">
        <v>0.01502347417840375</v>
      </c>
      <c r="F6" s="7" t="n"/>
      <c r="G6" s="7" t="n"/>
      <c r="H6" s="7" t="n"/>
      <c r="I6" s="7" t="n"/>
    </row>
    <row r="7">
      <c r="C7" s="7" t="n">
        <v>2</v>
      </c>
      <c r="D7" s="7" t="n">
        <v>0</v>
      </c>
      <c r="E7" s="7" t="n">
        <v>0.01502347417840375</v>
      </c>
      <c r="F7" s="7">
        <f>AVERAGE(E7:E9)</f>
        <v/>
      </c>
      <c r="G7" s="7" t="n"/>
      <c r="H7" s="7">
        <f>MAX(E7:E9)-MIN(E7:E9)</f>
        <v/>
      </c>
      <c r="I7" s="7" t="n"/>
      <c r="K7" s="2" t="inlineStr">
        <is>
          <t>SPECs of Max-Min (%)</t>
        </is>
      </c>
      <c r="L7" s="4" t="n"/>
      <c r="M7" s="5" t="n"/>
    </row>
    <row r="8">
      <c r="C8" s="7" t="n">
        <v>2</v>
      </c>
      <c r="D8" s="7" t="n">
        <v>45</v>
      </c>
      <c r="E8" s="7" t="n">
        <v>0.01502347417840375</v>
      </c>
      <c r="F8" s="7" t="n"/>
      <c r="G8" s="7" t="n"/>
      <c r="H8" s="7" t="n"/>
      <c r="I8" s="7" t="n"/>
      <c r="K8" s="6" t="inlineStr">
        <is>
          <t>WW</t>
        </is>
      </c>
      <c r="L8" s="6" t="inlineStr">
        <is>
          <t>W-2-W</t>
        </is>
      </c>
      <c r="M8" s="6" t="inlineStr">
        <is>
          <t>R-2-R</t>
        </is>
      </c>
    </row>
    <row r="9">
      <c r="C9" s="7" t="n">
        <v>2</v>
      </c>
      <c r="D9" s="7" t="n">
        <v>93</v>
      </c>
      <c r="E9" s="7" t="n">
        <v>0.01502347417840375</v>
      </c>
      <c r="F9" s="7" t="n"/>
      <c r="G9" s="7" t="n"/>
      <c r="H9" s="7" t="n"/>
      <c r="I9" s="7" t="n"/>
      <c r="K9" s="7" t="n">
        <v>1.755</v>
      </c>
      <c r="L9" s="7" t="inlineStr">
        <is>
          <t>-</t>
        </is>
      </c>
      <c r="M9" s="7" t="inlineStr">
        <is>
          <t>-</t>
        </is>
      </c>
    </row>
    <row r="10">
      <c r="C10" s="7" t="n">
        <v>3</v>
      </c>
      <c r="D10" s="7" t="n">
        <v>0</v>
      </c>
      <c r="E10" s="7" t="n">
        <v>0.01502347417840375</v>
      </c>
      <c r="F10" s="7">
        <f>AVERAGE(E10:E12)</f>
        <v/>
      </c>
      <c r="G10" s="7" t="n"/>
      <c r="H10" s="7">
        <f>MAX(E10:E12)-MIN(E10:E12)</f>
        <v/>
      </c>
      <c r="I10" s="7" t="n"/>
    </row>
    <row r="11">
      <c r="C11" s="7" t="n">
        <v>3</v>
      </c>
      <c r="D11" s="7" t="n">
        <v>45</v>
      </c>
      <c r="E11" s="7" t="n">
        <v>0.01502347417840375</v>
      </c>
      <c r="F11" s="7" t="n"/>
      <c r="G11" s="7" t="n"/>
      <c r="H11" s="7" t="n"/>
      <c r="I11" s="7" t="n"/>
    </row>
    <row r="12">
      <c r="C12" s="7" t="n">
        <v>3</v>
      </c>
      <c r="D12" s="7" t="n">
        <v>93</v>
      </c>
      <c r="E12" s="7" t="n">
        <v>0.01502347417840375</v>
      </c>
      <c r="F12" s="7" t="n"/>
      <c r="G12" s="7" t="n"/>
      <c r="H12" s="7" t="n"/>
      <c r="I12" s="7" t="n"/>
    </row>
    <row r="13">
      <c r="C13" s="7" t="n">
        <v>4</v>
      </c>
      <c r="D13" s="7" t="n">
        <v>0</v>
      </c>
      <c r="E13" s="7" t="n">
        <v>0.01502347417840375</v>
      </c>
      <c r="F13" s="7">
        <f>AVERAGE(E13:E15)</f>
        <v/>
      </c>
      <c r="G13" s="7" t="n"/>
      <c r="H13" s="7">
        <f>MAX(E13:E15)-MIN(E13:E15)</f>
        <v/>
      </c>
      <c r="I13" s="7" t="n"/>
    </row>
    <row r="14">
      <c r="C14" s="7" t="n">
        <v>4</v>
      </c>
      <c r="D14" s="7" t="n">
        <v>45</v>
      </c>
      <c r="E14" s="7" t="n">
        <v>0.01502347417840375</v>
      </c>
      <c r="F14" s="7" t="n"/>
      <c r="G14" s="7" t="n"/>
      <c r="H14" s="7" t="n"/>
      <c r="I14" s="7" t="n"/>
    </row>
    <row r="15">
      <c r="C15" s="7" t="n">
        <v>4</v>
      </c>
      <c r="D15" s="7" t="n">
        <v>93</v>
      </c>
      <c r="E15" s="7" t="n">
        <v>0.01502347417840375</v>
      </c>
      <c r="F15" s="7" t="n"/>
      <c r="G15" s="7" t="n"/>
      <c r="H15" s="7" t="n"/>
      <c r="I15" s="7" t="n"/>
    </row>
    <row r="16">
      <c r="C16" s="7" t="n">
        <v>5</v>
      </c>
      <c r="D16" s="7" t="n">
        <v>0</v>
      </c>
      <c r="E16" s="7" t="n">
        <v>0.01502347417840375</v>
      </c>
      <c r="F16" s="7">
        <f>AVERAGE(E16:E18)</f>
        <v/>
      </c>
      <c r="G16" s="7" t="n"/>
      <c r="H16" s="7">
        <f>MAX(E16:E18)-MIN(E16:E18)</f>
        <v/>
      </c>
      <c r="I16" s="7" t="n"/>
    </row>
    <row r="17">
      <c r="C17" s="7" t="n">
        <v>5</v>
      </c>
      <c r="D17" s="7" t="n">
        <v>45</v>
      </c>
      <c r="E17" s="7" t="n">
        <v>0.01502347417840375</v>
      </c>
      <c r="F17" s="7" t="n"/>
      <c r="G17" s="7" t="n"/>
      <c r="H17" s="7" t="n"/>
      <c r="I17" s="7" t="n"/>
    </row>
    <row r="18">
      <c r="C18" s="7" t="n">
        <v>5</v>
      </c>
      <c r="D18" s="7" t="n">
        <v>93</v>
      </c>
      <c r="E18" s="7" t="n">
        <v>0.01502347417840375</v>
      </c>
      <c r="F18" s="7" t="n"/>
      <c r="G18" s="7" t="n"/>
      <c r="H18" s="7" t="n"/>
      <c r="I18" s="7" t="n"/>
    </row>
    <row r="19">
      <c r="B19" s="13" t="inlineStr">
        <is>
          <t>V3103</t>
        </is>
      </c>
      <c r="C19" s="7" t="n">
        <v>1</v>
      </c>
      <c r="D19" s="7" t="n">
        <v>0</v>
      </c>
      <c r="E19" s="7" t="n">
        <v>0.01502347417840375</v>
      </c>
      <c r="F19" s="7">
        <f>AVERAGE(E19:E21)</f>
        <v/>
      </c>
      <c r="G19" s="7">
        <f>AVERAGE(F19:F31)</f>
        <v/>
      </c>
      <c r="H19" s="7">
        <f>MAX(E19:E21)-MIN(E19:E21)</f>
        <v/>
      </c>
      <c r="I19" s="7">
        <f>MAX(F19:F31)-MIN(F19:F31)</f>
        <v/>
      </c>
    </row>
    <row r="20">
      <c r="B20" s="13" t="n"/>
      <c r="C20" s="7" t="n">
        <v>1</v>
      </c>
      <c r="D20" s="7" t="n">
        <v>45</v>
      </c>
      <c r="E20" s="7" t="n">
        <v>0.01502347417840375</v>
      </c>
      <c r="F20" s="7" t="n"/>
      <c r="G20" s="7" t="n"/>
      <c r="H20" s="7" t="n"/>
      <c r="I20" s="7" t="n"/>
    </row>
    <row r="21">
      <c r="B21" s="13" t="n"/>
      <c r="C21" s="7" t="n">
        <v>1</v>
      </c>
      <c r="D21" s="7" t="n">
        <v>93</v>
      </c>
      <c r="E21" s="7" t="n">
        <v>0.01502347417840375</v>
      </c>
      <c r="F21" s="7" t="n"/>
      <c r="G21" s="7" t="n"/>
      <c r="H21" s="7" t="n"/>
      <c r="I21" s="7" t="n"/>
    </row>
    <row r="22">
      <c r="C22" s="7" t="n">
        <v>2</v>
      </c>
      <c r="D22" s="7" t="n">
        <v>0</v>
      </c>
      <c r="E22" s="7" t="n">
        <v>0.01502347417840375</v>
      </c>
      <c r="F22" s="7">
        <f>AVERAGE(E22:E24)</f>
        <v/>
      </c>
      <c r="G22" s="7" t="n"/>
      <c r="H22" s="7">
        <f>MAX(E22:E24)-MIN(E22:E24)</f>
        <v/>
      </c>
      <c r="I22" s="7" t="n"/>
    </row>
    <row r="23">
      <c r="C23" s="7" t="n">
        <v>2</v>
      </c>
      <c r="D23" s="7" t="n">
        <v>45</v>
      </c>
      <c r="E23" s="7" t="n">
        <v>0.01502347417840375</v>
      </c>
      <c r="F23" s="7" t="n"/>
      <c r="G23" s="7" t="n"/>
      <c r="H23" s="7" t="n"/>
      <c r="I23" s="7" t="n"/>
    </row>
    <row r="24">
      <c r="C24" s="7" t="n">
        <v>2</v>
      </c>
      <c r="D24" s="7" t="n">
        <v>93</v>
      </c>
      <c r="E24" s="7" t="n">
        <v>0.01502347417840375</v>
      </c>
      <c r="F24" s="7" t="n"/>
      <c r="G24" s="7" t="n"/>
      <c r="H24" s="7" t="n"/>
      <c r="I24" s="7" t="n"/>
    </row>
    <row r="25">
      <c r="C25" s="7" t="n">
        <v>3</v>
      </c>
      <c r="D25" s="7" t="n">
        <v>0</v>
      </c>
      <c r="E25" s="7" t="n">
        <v>0.01502347417840375</v>
      </c>
      <c r="F25" s="7">
        <f>AVERAGE(E25:E27)</f>
        <v/>
      </c>
      <c r="G25" s="7" t="n"/>
      <c r="H25" s="7">
        <f>MAX(E25:E27)-MIN(E25:E27)</f>
        <v/>
      </c>
      <c r="I25" s="7" t="n"/>
    </row>
    <row r="26">
      <c r="C26" s="7" t="n">
        <v>3</v>
      </c>
      <c r="D26" s="7" t="n">
        <v>45</v>
      </c>
      <c r="E26" s="7" t="n">
        <v>0.01502347417840375</v>
      </c>
      <c r="F26" s="7" t="n"/>
      <c r="G26" s="7" t="n"/>
      <c r="H26" s="7" t="n"/>
      <c r="I26" s="7" t="n"/>
    </row>
    <row r="27">
      <c r="C27" s="7" t="n">
        <v>3</v>
      </c>
      <c r="D27" s="7" t="n">
        <v>93</v>
      </c>
      <c r="E27" s="7" t="n">
        <v>0.01502347417840375</v>
      </c>
      <c r="F27" s="7" t="n"/>
      <c r="G27" s="7" t="n"/>
      <c r="H27" s="7" t="n"/>
      <c r="I27" s="7" t="n"/>
    </row>
    <row r="28">
      <c r="C28" s="7" t="n">
        <v>4</v>
      </c>
      <c r="D28" s="7" t="n">
        <v>0</v>
      </c>
      <c r="E28" s="7" t="n">
        <v>0.01502347417840375</v>
      </c>
      <c r="F28" s="7">
        <f>AVERAGE(E28:E30)</f>
        <v/>
      </c>
      <c r="G28" s="7" t="n"/>
      <c r="H28" s="7">
        <f>MAX(E28:E30)-MIN(E28:E30)</f>
        <v/>
      </c>
      <c r="I28" s="7" t="n"/>
    </row>
    <row r="29">
      <c r="C29" s="7" t="n">
        <v>4</v>
      </c>
      <c r="D29" s="7" t="n">
        <v>45</v>
      </c>
      <c r="E29" s="7" t="n">
        <v>0.01502347417840375</v>
      </c>
      <c r="F29" s="7" t="n"/>
      <c r="G29" s="7" t="n"/>
      <c r="H29" s="7" t="n"/>
      <c r="I29" s="7" t="n"/>
    </row>
    <row r="30">
      <c r="C30" s="7" t="n">
        <v>4</v>
      </c>
      <c r="D30" s="7" t="n">
        <v>93</v>
      </c>
      <c r="E30" s="7" t="n">
        <v>0.01502347417840375</v>
      </c>
      <c r="F30" s="7" t="n"/>
      <c r="G30" s="7" t="n"/>
      <c r="H30" s="7" t="n"/>
      <c r="I30" s="7" t="n"/>
    </row>
    <row r="31">
      <c r="C31" s="7" t="n">
        <v>5</v>
      </c>
      <c r="D31" s="7" t="n">
        <v>0</v>
      </c>
      <c r="E31" s="7" t="n">
        <v>0.01502347417840375</v>
      </c>
      <c r="F31" s="7">
        <f>AVERAGE(E31:E33)</f>
        <v/>
      </c>
      <c r="G31" s="7" t="n"/>
      <c r="H31" s="7">
        <f>MAX(E31:E33)-MIN(E31:E33)</f>
        <v/>
      </c>
      <c r="I31" s="7" t="n"/>
    </row>
    <row r="32">
      <c r="C32" s="7" t="n">
        <v>5</v>
      </c>
      <c r="D32" s="7" t="n">
        <v>45</v>
      </c>
      <c r="E32" s="7" t="n">
        <v>0.01502347417840375</v>
      </c>
      <c r="F32" s="7" t="n"/>
      <c r="G32" s="7" t="n"/>
      <c r="H32" s="7" t="n"/>
      <c r="I32" s="7" t="n"/>
    </row>
    <row r="33">
      <c r="C33" s="7" t="n">
        <v>5</v>
      </c>
      <c r="D33" s="7" t="n">
        <v>93</v>
      </c>
      <c r="E33" s="7" t="n">
        <v>0.01502347417840375</v>
      </c>
      <c r="F33" s="7" t="n"/>
      <c r="G33" s="7" t="n"/>
      <c r="H33" s="7" t="n"/>
      <c r="I33" s="7" t="n"/>
    </row>
    <row r="34">
      <c r="B34" s="13" t="inlineStr">
        <is>
          <t>V3103</t>
        </is>
      </c>
      <c r="C34" s="7" t="n">
        <v>1</v>
      </c>
      <c r="D34" s="7" t="n">
        <v>0</v>
      </c>
      <c r="E34" s="7" t="n">
        <v>0.01502347417840375</v>
      </c>
      <c r="F34" s="7">
        <f>AVERAGE(E34:E36)</f>
        <v/>
      </c>
      <c r="G34" s="7">
        <f>AVERAGE(F34:F46)</f>
        <v/>
      </c>
      <c r="H34" s="7">
        <f>MAX(E34:E36)-MIN(E34:E36)</f>
        <v/>
      </c>
      <c r="I34" s="7">
        <f>MAX(F34:F46)-MIN(F34:F46)</f>
        <v/>
      </c>
    </row>
    <row r="35">
      <c r="B35" s="13" t="n"/>
      <c r="C35" s="7" t="n">
        <v>1</v>
      </c>
      <c r="D35" s="7" t="n">
        <v>45</v>
      </c>
      <c r="E35" s="7" t="n">
        <v>0.01502347417840375</v>
      </c>
      <c r="F35" s="7" t="n"/>
      <c r="G35" s="7" t="n"/>
      <c r="H35" s="7" t="n"/>
      <c r="I35" s="7" t="n"/>
    </row>
    <row r="36">
      <c r="B36" s="13" t="n"/>
      <c r="C36" s="7" t="n">
        <v>1</v>
      </c>
      <c r="D36" s="7" t="n">
        <v>93</v>
      </c>
      <c r="E36" s="7" t="n">
        <v>0.01502347417840375</v>
      </c>
      <c r="F36" s="7" t="n"/>
      <c r="G36" s="7" t="n"/>
      <c r="H36" s="7" t="n"/>
      <c r="I36" s="7" t="n"/>
    </row>
    <row r="37">
      <c r="C37" s="7" t="n">
        <v>2</v>
      </c>
      <c r="D37" s="7" t="n">
        <v>0</v>
      </c>
      <c r="E37" s="7" t="n">
        <v>0.01502347417840375</v>
      </c>
      <c r="F37" s="7">
        <f>AVERAGE(E37:E39)</f>
        <v/>
      </c>
      <c r="G37" s="7" t="n"/>
      <c r="H37" s="7">
        <f>MAX(E37:E39)-MIN(E37:E39)</f>
        <v/>
      </c>
      <c r="I37" s="7" t="n"/>
    </row>
    <row r="38">
      <c r="C38" s="7" t="n">
        <v>2</v>
      </c>
      <c r="D38" s="7" t="n">
        <v>45</v>
      </c>
      <c r="E38" s="7" t="n">
        <v>0.01502347417840375</v>
      </c>
      <c r="F38" s="7" t="n"/>
      <c r="G38" s="7" t="n"/>
      <c r="H38" s="7" t="n"/>
      <c r="I38" s="7" t="n"/>
    </row>
    <row r="39">
      <c r="C39" s="7" t="n">
        <v>2</v>
      </c>
      <c r="D39" s="7" t="n">
        <v>93</v>
      </c>
      <c r="E39" s="7" t="n">
        <v>0.01502347417840375</v>
      </c>
      <c r="F39" s="7" t="n"/>
      <c r="G39" s="7" t="n"/>
      <c r="H39" s="7" t="n"/>
      <c r="I39" s="7" t="n"/>
    </row>
    <row r="40">
      <c r="C40" s="7" t="n">
        <v>3</v>
      </c>
      <c r="D40" s="7" t="n">
        <v>0</v>
      </c>
      <c r="E40" s="7" t="n">
        <v>0.01502347417840375</v>
      </c>
      <c r="F40" s="7">
        <f>AVERAGE(E40:E42)</f>
        <v/>
      </c>
      <c r="G40" s="7" t="n"/>
      <c r="H40" s="7">
        <f>MAX(E40:E42)-MIN(E40:E42)</f>
        <v/>
      </c>
      <c r="I40" s="7" t="n"/>
    </row>
    <row r="41">
      <c r="C41" s="7" t="n">
        <v>3</v>
      </c>
      <c r="D41" s="7" t="n">
        <v>45</v>
      </c>
      <c r="E41" s="7" t="n">
        <v>0.01502347417840375</v>
      </c>
      <c r="F41" s="7" t="n"/>
      <c r="G41" s="7" t="n"/>
      <c r="H41" s="7" t="n"/>
      <c r="I41" s="7" t="n"/>
    </row>
    <row r="42">
      <c r="C42" s="7" t="n">
        <v>3</v>
      </c>
      <c r="D42" s="7" t="n">
        <v>93</v>
      </c>
      <c r="E42" s="7" t="n">
        <v>0.01502347417840375</v>
      </c>
      <c r="F42" s="7" t="n"/>
      <c r="G42" s="7" t="n"/>
      <c r="H42" s="7" t="n"/>
      <c r="I42" s="7" t="n"/>
    </row>
    <row r="43">
      <c r="C43" s="7" t="n">
        <v>4</v>
      </c>
      <c r="D43" s="7" t="n">
        <v>0</v>
      </c>
      <c r="E43" s="7" t="n">
        <v>0.01502347417840375</v>
      </c>
      <c r="F43" s="7">
        <f>AVERAGE(E43:E45)</f>
        <v/>
      </c>
      <c r="G43" s="7" t="n"/>
      <c r="H43" s="7">
        <f>MAX(E43:E45)-MIN(E43:E45)</f>
        <v/>
      </c>
      <c r="I43" s="7" t="n"/>
    </row>
    <row r="44">
      <c r="C44" s="7" t="n">
        <v>4</v>
      </c>
      <c r="D44" s="7" t="n">
        <v>45</v>
      </c>
      <c r="E44" s="7" t="n">
        <v>0.01502347417840375</v>
      </c>
      <c r="F44" s="7" t="n"/>
      <c r="G44" s="7" t="n"/>
      <c r="H44" s="7" t="n"/>
      <c r="I44" s="7" t="n"/>
    </row>
    <row r="45">
      <c r="C45" s="7" t="n">
        <v>4</v>
      </c>
      <c r="D45" s="7" t="n">
        <v>93</v>
      </c>
      <c r="E45" s="7" t="n">
        <v>0.01502347417840375</v>
      </c>
      <c r="F45" s="7" t="n"/>
      <c r="G45" s="7" t="n"/>
      <c r="H45" s="7" t="n"/>
      <c r="I45" s="7" t="n"/>
    </row>
    <row r="46">
      <c r="C46" s="7" t="n">
        <v>5</v>
      </c>
      <c r="D46" s="7" t="n">
        <v>0</v>
      </c>
      <c r="E46" s="7" t="n">
        <v>0.01502347417840375</v>
      </c>
      <c r="F46" s="7">
        <f>AVERAGE(E46:E48)</f>
        <v/>
      </c>
      <c r="G46" s="7" t="n"/>
      <c r="H46" s="7">
        <f>MAX(E46:E48)-MIN(E46:E48)</f>
        <v/>
      </c>
      <c r="I46" s="7" t="n"/>
    </row>
    <row r="47">
      <c r="C47" s="7" t="n">
        <v>5</v>
      </c>
      <c r="D47" s="7" t="n">
        <v>45</v>
      </c>
      <c r="E47" s="7" t="n">
        <v>0.01502347417840375</v>
      </c>
      <c r="F47" s="7" t="n"/>
      <c r="G47" s="7" t="n"/>
      <c r="H47" s="7" t="n"/>
      <c r="I47" s="7" t="n"/>
    </row>
    <row r="48">
      <c r="C48" s="7" t="n">
        <v>5</v>
      </c>
      <c r="D48" s="7" t="n">
        <v>93</v>
      </c>
      <c r="E48" s="7" t="n">
        <v>0.01502347417840375</v>
      </c>
      <c r="F48" s="7" t="n"/>
      <c r="G48" s="7" t="n"/>
      <c r="H48" s="7" t="n"/>
      <c r="I48" s="7" t="n"/>
    </row>
  </sheetData>
  <mergeCells count="5">
    <mergeCell ref="B4:B6"/>
    <mergeCell ref="B34:B36"/>
    <mergeCell ref="B19:B21"/>
    <mergeCell ref="K3:M3"/>
    <mergeCell ref="K7:M7"/>
  </mergeCells>
  <conditionalFormatting sqref="F4">
    <cfRule type="cellIs" priority="1" operator="between" dxfId="0" stopIfTrue="1">
      <formula>55.55</formula>
      <formula>71.23</formula>
    </cfRule>
    <cfRule type="cellIs" priority="2" operator="notBetween" dxfId="1" stopIfTrue="1">
      <formula>55.55</formula>
      <formula>71.23</formula>
    </cfRule>
  </conditionalFormatting>
  <conditionalFormatting sqref="F7">
    <cfRule type="cellIs" priority="3" operator="between" dxfId="0" stopIfTrue="1">
      <formula>55.55</formula>
      <formula>71.23</formula>
    </cfRule>
    <cfRule type="cellIs" priority="4" operator="notBetween" dxfId="1" stopIfTrue="1">
      <formula>55.55</formula>
      <formula>71.23</formula>
    </cfRule>
  </conditionalFormatting>
  <conditionalFormatting sqref="F10">
    <cfRule type="cellIs" priority="5" operator="between" dxfId="0" stopIfTrue="1">
      <formula>55.55</formula>
      <formula>71.23</formula>
    </cfRule>
    <cfRule type="cellIs" priority="6" operator="notBetween" dxfId="1" stopIfTrue="1">
      <formula>55.55</formula>
      <formula>71.23</formula>
    </cfRule>
  </conditionalFormatting>
  <conditionalFormatting sqref="F13">
    <cfRule type="cellIs" priority="7" operator="between" dxfId="0" stopIfTrue="1">
      <formula>55.55</formula>
      <formula>71.23</formula>
    </cfRule>
    <cfRule type="cellIs" priority="8" operator="notBetween" dxfId="1" stopIfTrue="1">
      <formula>55.55</formula>
      <formula>71.23</formula>
    </cfRule>
  </conditionalFormatting>
  <conditionalFormatting sqref="F16">
    <cfRule type="cellIs" priority="9" operator="between" dxfId="0" stopIfTrue="1">
      <formula>55.55</formula>
      <formula>71.23</formula>
    </cfRule>
    <cfRule type="cellIs" priority="10" operator="notBetween" dxfId="1" stopIfTrue="1">
      <formula>55.55</formula>
      <formula>71.23</formula>
    </cfRule>
  </conditionalFormatting>
  <conditionalFormatting sqref="F19">
    <cfRule type="cellIs" priority="11" operator="between" dxfId="0" stopIfTrue="1">
      <formula>55.55</formula>
      <formula>71.23</formula>
    </cfRule>
    <cfRule type="cellIs" priority="12" operator="notBetween" dxfId="1" stopIfTrue="1">
      <formula>55.55</formula>
      <formula>71.23</formula>
    </cfRule>
  </conditionalFormatting>
  <conditionalFormatting sqref="F22">
    <cfRule type="cellIs" priority="13" operator="between" dxfId="0" stopIfTrue="1">
      <formula>55.55</formula>
      <formula>71.23</formula>
    </cfRule>
    <cfRule type="cellIs" priority="14" operator="notBetween" dxfId="1" stopIfTrue="1">
      <formula>55.55</formula>
      <formula>71.23</formula>
    </cfRule>
  </conditionalFormatting>
  <conditionalFormatting sqref="F25">
    <cfRule type="cellIs" priority="15" operator="between" dxfId="0" stopIfTrue="1">
      <formula>55.55</formula>
      <formula>71.23</formula>
    </cfRule>
    <cfRule type="cellIs" priority="16" operator="notBetween" dxfId="1" stopIfTrue="1">
      <formula>55.55</formula>
      <formula>71.23</formula>
    </cfRule>
  </conditionalFormatting>
  <conditionalFormatting sqref="F28">
    <cfRule type="cellIs" priority="17" operator="between" dxfId="0" stopIfTrue="1">
      <formula>55.55</formula>
      <formula>71.23</formula>
    </cfRule>
    <cfRule type="cellIs" priority="18" operator="notBetween" dxfId="1" stopIfTrue="1">
      <formula>55.55</formula>
      <formula>71.23</formula>
    </cfRule>
  </conditionalFormatting>
  <conditionalFormatting sqref="F31">
    <cfRule type="cellIs" priority="19" operator="between" dxfId="0" stopIfTrue="1">
      <formula>55.55</formula>
      <formula>71.23</formula>
    </cfRule>
    <cfRule type="cellIs" priority="20" operator="notBetween" dxfId="1" stopIfTrue="1">
      <formula>55.55</formula>
      <formula>71.23</formula>
    </cfRule>
  </conditionalFormatting>
  <conditionalFormatting sqref="F34">
    <cfRule type="cellIs" priority="21" operator="between" dxfId="0" stopIfTrue="1">
      <formula>55.55</formula>
      <formula>71.23</formula>
    </cfRule>
    <cfRule type="cellIs" priority="22" operator="notBetween" dxfId="1" stopIfTrue="1">
      <formula>55.55</formula>
      <formula>71.23</formula>
    </cfRule>
  </conditionalFormatting>
  <conditionalFormatting sqref="F37">
    <cfRule type="cellIs" priority="23" operator="between" dxfId="0" stopIfTrue="1">
      <formula>55.55</formula>
      <formula>71.23</formula>
    </cfRule>
    <cfRule type="cellIs" priority="24" operator="notBetween" dxfId="1" stopIfTrue="1">
      <formula>55.55</formula>
      <formula>71.23</formula>
    </cfRule>
  </conditionalFormatting>
  <conditionalFormatting sqref="F40">
    <cfRule type="cellIs" priority="25" operator="between" dxfId="0" stopIfTrue="1">
      <formula>55.55</formula>
      <formula>71.23</formula>
    </cfRule>
    <cfRule type="cellIs" priority="26" operator="notBetween" dxfId="1" stopIfTrue="1">
      <formula>55.55</formula>
      <formula>71.23</formula>
    </cfRule>
  </conditionalFormatting>
  <conditionalFormatting sqref="F43">
    <cfRule type="cellIs" priority="27" operator="between" dxfId="0" stopIfTrue="1">
      <formula>55.55</formula>
      <formula>71.23</formula>
    </cfRule>
    <cfRule type="cellIs" priority="28" operator="notBetween" dxfId="1" stopIfTrue="1">
      <formula>55.55</formula>
      <formula>71.23</formula>
    </cfRule>
  </conditionalFormatting>
  <conditionalFormatting sqref="F46">
    <cfRule type="cellIs" priority="29" operator="between" dxfId="0" stopIfTrue="1">
      <formula>55.55</formula>
      <formula>71.23</formula>
    </cfRule>
    <cfRule type="cellIs" priority="30" operator="notBetween" dxfId="1" stopIfTrue="1">
      <formula>55.55</formula>
      <formula>71.23</formula>
    </cfRule>
  </conditionalFormatting>
  <conditionalFormatting sqref="G4">
    <cfRule type="cellIs" priority="31" operator="between" dxfId="0" stopIfTrue="1">
      <formula>55.55</formula>
      <formula>71.23</formula>
    </cfRule>
    <cfRule type="cellIs" priority="32" operator="notBetween" dxfId="1" stopIfTrue="1">
      <formula>55.55</formula>
      <formula>71.23</formula>
    </cfRule>
  </conditionalFormatting>
  <conditionalFormatting sqref="G19">
    <cfRule type="cellIs" priority="33" operator="between" dxfId="0" stopIfTrue="1">
      <formula>55.55</formula>
      <formula>71.23</formula>
    </cfRule>
    <cfRule type="cellIs" priority="34" operator="notBetween" dxfId="1" stopIfTrue="1">
      <formula>55.55</formula>
      <formula>71.23</formula>
    </cfRule>
  </conditionalFormatting>
  <conditionalFormatting sqref="G34">
    <cfRule type="cellIs" priority="35" operator="between" dxfId="0" stopIfTrue="1">
      <formula>55.55</formula>
      <formula>71.23</formula>
    </cfRule>
    <cfRule type="cellIs" priority="36" operator="notBetween" dxfId="1" stopIfTrue="1">
      <formula>55.55</formula>
      <formula>71.23</formula>
    </cfRule>
  </conditionalFormatting>
  <conditionalFormatting sqref="H4">
    <cfRule type="cellIs" priority="37" operator="lessThanOrEqual" dxfId="0" stopIfTrue="1">
      <formula>1.755</formula>
    </cfRule>
    <cfRule type="cellIs" priority="38" operator="greaterThan" dxfId="1" stopIfTrue="1">
      <formula>1.755</formula>
    </cfRule>
  </conditionalFormatting>
  <conditionalFormatting sqref="H7">
    <cfRule type="cellIs" priority="39" operator="lessThanOrEqual" dxfId="0" stopIfTrue="1">
      <formula>1.755</formula>
    </cfRule>
    <cfRule type="cellIs" priority="40" operator="greaterThan" dxfId="1" stopIfTrue="1">
      <formula>1.755</formula>
    </cfRule>
  </conditionalFormatting>
  <conditionalFormatting sqref="H10">
    <cfRule type="cellIs" priority="41" operator="lessThanOrEqual" dxfId="0" stopIfTrue="1">
      <formula>1.755</formula>
    </cfRule>
    <cfRule type="cellIs" priority="42" operator="greaterThan" dxfId="1" stopIfTrue="1">
      <formula>1.755</formula>
    </cfRule>
  </conditionalFormatting>
  <conditionalFormatting sqref="H13">
    <cfRule type="cellIs" priority="43" operator="lessThanOrEqual" dxfId="0" stopIfTrue="1">
      <formula>1.755</formula>
    </cfRule>
    <cfRule type="cellIs" priority="44" operator="greaterThan" dxfId="1" stopIfTrue="1">
      <formula>1.755</formula>
    </cfRule>
  </conditionalFormatting>
  <conditionalFormatting sqref="H16">
    <cfRule type="cellIs" priority="45" operator="lessThanOrEqual" dxfId="0" stopIfTrue="1">
      <formula>1.755</formula>
    </cfRule>
    <cfRule type="cellIs" priority="46" operator="greaterThan" dxfId="1" stopIfTrue="1">
      <formula>1.755</formula>
    </cfRule>
  </conditionalFormatting>
  <conditionalFormatting sqref="H19">
    <cfRule type="cellIs" priority="47" operator="lessThanOrEqual" dxfId="0" stopIfTrue="1">
      <formula>1.755</formula>
    </cfRule>
    <cfRule type="cellIs" priority="48" operator="greaterThan" dxfId="1" stopIfTrue="1">
      <formula>1.755</formula>
    </cfRule>
  </conditionalFormatting>
  <conditionalFormatting sqref="H22">
    <cfRule type="cellIs" priority="49" operator="lessThanOrEqual" dxfId="0" stopIfTrue="1">
      <formula>1.755</formula>
    </cfRule>
    <cfRule type="cellIs" priority="50" operator="greaterThan" dxfId="1" stopIfTrue="1">
      <formula>1.755</formula>
    </cfRule>
  </conditionalFormatting>
  <conditionalFormatting sqref="H25">
    <cfRule type="cellIs" priority="51" operator="lessThanOrEqual" dxfId="0" stopIfTrue="1">
      <formula>1.755</formula>
    </cfRule>
    <cfRule type="cellIs" priority="52" operator="greaterThan" dxfId="1" stopIfTrue="1">
      <formula>1.755</formula>
    </cfRule>
  </conditionalFormatting>
  <conditionalFormatting sqref="H28">
    <cfRule type="cellIs" priority="53" operator="lessThanOrEqual" dxfId="0" stopIfTrue="1">
      <formula>1.755</formula>
    </cfRule>
    <cfRule type="cellIs" priority="54" operator="greaterThan" dxfId="1" stopIfTrue="1">
      <formula>1.755</formula>
    </cfRule>
  </conditionalFormatting>
  <conditionalFormatting sqref="H31">
    <cfRule type="cellIs" priority="55" operator="lessThanOrEqual" dxfId="0" stopIfTrue="1">
      <formula>1.755</formula>
    </cfRule>
    <cfRule type="cellIs" priority="56" operator="greaterThan" dxfId="1" stopIfTrue="1">
      <formula>1.755</formula>
    </cfRule>
  </conditionalFormatting>
  <conditionalFormatting sqref="H34">
    <cfRule type="cellIs" priority="57" operator="lessThanOrEqual" dxfId="0" stopIfTrue="1">
      <formula>1.755</formula>
    </cfRule>
    <cfRule type="cellIs" priority="58" operator="greaterThan" dxfId="1" stopIfTrue="1">
      <formula>1.755</formula>
    </cfRule>
  </conditionalFormatting>
  <conditionalFormatting sqref="H37">
    <cfRule type="cellIs" priority="59" operator="lessThanOrEqual" dxfId="0" stopIfTrue="1">
      <formula>1.755</formula>
    </cfRule>
    <cfRule type="cellIs" priority="60" operator="greaterThan" dxfId="1" stopIfTrue="1">
      <formula>1.755</formula>
    </cfRule>
  </conditionalFormatting>
  <conditionalFormatting sqref="H40">
    <cfRule type="cellIs" priority="61" operator="lessThanOrEqual" dxfId="0" stopIfTrue="1">
      <formula>1.755</formula>
    </cfRule>
    <cfRule type="cellIs" priority="62" operator="greaterThan" dxfId="1" stopIfTrue="1">
      <formula>1.755</formula>
    </cfRule>
  </conditionalFormatting>
  <conditionalFormatting sqref="H43">
    <cfRule type="cellIs" priority="63" operator="lessThanOrEqual" dxfId="0" stopIfTrue="1">
      <formula>1.755</formula>
    </cfRule>
    <cfRule type="cellIs" priority="64" operator="greaterThan" dxfId="1" stopIfTrue="1">
      <formula>1.755</formula>
    </cfRule>
  </conditionalFormatting>
  <conditionalFormatting sqref="H46">
    <cfRule type="cellIs" priority="65" operator="lessThanOrEqual" dxfId="0" stopIfTrue="1">
      <formula>1.755</formula>
    </cfRule>
    <cfRule type="cellIs" priority="66" operator="greaterThan" dxfId="1" stopIfTrue="1">
      <formula>1.755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M48"/>
  <sheetViews>
    <sheetView workbookViewId="0">
      <selection activeCell="A1" sqref="A1"/>
    </sheetView>
  </sheetViews>
  <sheetFormatPr baseColWidth="8" defaultRowHeight="15"/>
  <cols>
    <col width="2" customWidth="1" min="1" max="1"/>
    <col width="16.44" customWidth="1" min="2" max="2"/>
    <col width="16.44" customWidth="1" min="3" max="3"/>
    <col width="16.44" customWidth="1" min="4" max="4"/>
    <col width="16.44" customWidth="1" min="5" max="5"/>
    <col width="16.44" customWidth="1" min="6" max="6"/>
    <col width="16.44" customWidth="1" min="7" max="7"/>
    <col width="16.44" customWidth="1" min="8" max="8"/>
    <col width="16.44" customWidth="1" min="9" max="9"/>
    <col width="10" customWidth="1" min="11" max="11"/>
    <col width="10" customWidth="1" min="12" max="12"/>
    <col width="10" customWidth="1" min="13" max="13"/>
  </cols>
  <sheetData>
    <row r="3">
      <c r="C3" s="6" t="inlineStr">
        <is>
          <t>Slot No.</t>
        </is>
      </c>
      <c r="D3" s="6" t="inlineStr">
        <is>
          <t>Coordinate</t>
        </is>
      </c>
      <c r="E3" s="6" t="inlineStr">
        <is>
          <t>XRD105-FWHM</t>
        </is>
      </c>
      <c r="F3" s="6" t="inlineStr">
        <is>
          <t>Wafer Average</t>
        </is>
      </c>
      <c r="G3" s="6" t="inlineStr">
        <is>
          <t>Run Average</t>
        </is>
      </c>
      <c r="H3" s="6" t="inlineStr">
        <is>
          <t>WW Uniformity</t>
        </is>
      </c>
      <c r="I3" s="6" t="inlineStr">
        <is>
          <t>W-W Uniformity</t>
        </is>
      </c>
      <c r="K3" s="2" t="inlineStr">
        <is>
          <t>SPECs (Arcsecond)</t>
        </is>
      </c>
      <c r="L3" s="4" t="n"/>
      <c r="M3" s="5" t="n"/>
    </row>
    <row r="4">
      <c r="B4" s="13" t="inlineStr">
        <is>
          <t>V3103</t>
        </is>
      </c>
      <c r="C4" s="7" t="n">
        <v>1</v>
      </c>
      <c r="D4" s="7" t="n">
        <v>0</v>
      </c>
      <c r="E4" s="7" t="n">
        <v>196</v>
      </c>
      <c r="F4" s="7">
        <f>AVERAGE(E4:E6)</f>
        <v/>
      </c>
      <c r="G4" s="7">
        <f>AVERAGE(F4:F16)</f>
        <v/>
      </c>
      <c r="H4" s="7">
        <f>MAX(E4:E6)-MIN(E4:E6)</f>
        <v/>
      </c>
      <c r="I4" s="7">
        <f>MAX(F4:F16)-MIN(F4:F16)</f>
        <v/>
      </c>
      <c r="K4" s="6" t="inlineStr">
        <is>
          <t>Min</t>
        </is>
      </c>
      <c r="L4" s="6" t="inlineStr">
        <is>
          <t>Target</t>
        </is>
      </c>
      <c r="M4" s="6" t="inlineStr">
        <is>
          <t>Max</t>
        </is>
      </c>
    </row>
    <row r="5">
      <c r="B5" s="13" t="n"/>
      <c r="C5" s="7" t="n">
        <v>1</v>
      </c>
      <c r="D5" s="7" t="n">
        <v>45</v>
      </c>
      <c r="E5" s="7" t="n">
        <v>197</v>
      </c>
      <c r="F5" s="7" t="n"/>
      <c r="G5" s="7" t="n"/>
      <c r="H5" s="7" t="n"/>
      <c r="I5" s="7" t="n"/>
      <c r="K5" s="7" t="n">
        <v>20.21</v>
      </c>
      <c r="L5" s="7" t="n">
        <v>26.48</v>
      </c>
      <c r="M5" s="7" t="n">
        <v>32.75</v>
      </c>
    </row>
    <row r="6">
      <c r="B6" s="13" t="n"/>
      <c r="C6" s="7" t="n">
        <v>1</v>
      </c>
      <c r="D6" s="7" t="n">
        <v>93</v>
      </c>
      <c r="E6" s="7" t="n">
        <v>198</v>
      </c>
      <c r="F6" s="7" t="n"/>
      <c r="G6" s="7" t="n"/>
      <c r="H6" s="7" t="n"/>
      <c r="I6" s="7" t="n"/>
    </row>
    <row r="7">
      <c r="C7" s="7" t="n">
        <v>2</v>
      </c>
      <c r="D7" s="7" t="n">
        <v>0</v>
      </c>
      <c r="E7" s="7" t="n">
        <v>196</v>
      </c>
      <c r="F7" s="7">
        <f>AVERAGE(E7:E9)</f>
        <v/>
      </c>
      <c r="G7" s="7" t="n"/>
      <c r="H7" s="7">
        <f>MAX(E7:E9)-MIN(E7:E9)</f>
        <v/>
      </c>
      <c r="I7" s="7" t="n"/>
      <c r="K7" s="2" t="inlineStr">
        <is>
          <t>SPECs of Max-Min (Arcsecond)</t>
        </is>
      </c>
      <c r="L7" s="4" t="n"/>
      <c r="M7" s="5" t="n"/>
    </row>
    <row r="8">
      <c r="C8" s="7" t="n">
        <v>2</v>
      </c>
      <c r="D8" s="7" t="n">
        <v>45</v>
      </c>
      <c r="E8" s="7" t="n">
        <v>197</v>
      </c>
      <c r="F8" s="7" t="n"/>
      <c r="G8" s="7" t="n"/>
      <c r="H8" s="7" t="n"/>
      <c r="I8" s="7" t="n"/>
      <c r="K8" s="6" t="inlineStr">
        <is>
          <t>WW</t>
        </is>
      </c>
      <c r="L8" s="6" t="inlineStr">
        <is>
          <t>W-2-W</t>
        </is>
      </c>
      <c r="M8" s="6" t="inlineStr">
        <is>
          <t>R-2-R</t>
        </is>
      </c>
    </row>
    <row r="9">
      <c r="C9" s="7" t="n">
        <v>2</v>
      </c>
      <c r="D9" s="7" t="n">
        <v>93</v>
      </c>
      <c r="E9" s="7" t="n">
        <v>198</v>
      </c>
      <c r="F9" s="7" t="n"/>
      <c r="G9" s="7" t="n"/>
      <c r="H9" s="7" t="n"/>
      <c r="I9" s="7" t="n"/>
      <c r="K9" s="7" t="n">
        <v>1.56</v>
      </c>
      <c r="L9" s="7" t="inlineStr">
        <is>
          <t>-</t>
        </is>
      </c>
      <c r="M9" s="7" t="inlineStr">
        <is>
          <t>-</t>
        </is>
      </c>
    </row>
    <row r="10">
      <c r="C10" s="7" t="n">
        <v>3</v>
      </c>
      <c r="D10" s="7" t="n">
        <v>0</v>
      </c>
      <c r="E10" s="7" t="n">
        <v>196</v>
      </c>
      <c r="F10" s="7">
        <f>AVERAGE(E10:E12)</f>
        <v/>
      </c>
      <c r="G10" s="7" t="n"/>
      <c r="H10" s="7">
        <f>MAX(E10:E12)-MIN(E10:E12)</f>
        <v/>
      </c>
      <c r="I10" s="7" t="n"/>
    </row>
    <row r="11">
      <c r="C11" s="7" t="n">
        <v>3</v>
      </c>
      <c r="D11" s="7" t="n">
        <v>45</v>
      </c>
      <c r="E11" s="7" t="n">
        <v>197</v>
      </c>
      <c r="F11" s="7" t="n"/>
      <c r="G11" s="7" t="n"/>
      <c r="H11" s="7" t="n"/>
      <c r="I11" s="7" t="n"/>
    </row>
    <row r="12">
      <c r="C12" s="7" t="n">
        <v>3</v>
      </c>
      <c r="D12" s="7" t="n">
        <v>93</v>
      </c>
      <c r="E12" s="7" t="n">
        <v>198</v>
      </c>
      <c r="F12" s="7" t="n"/>
      <c r="G12" s="7" t="n"/>
      <c r="H12" s="7" t="n"/>
      <c r="I12" s="7" t="n"/>
    </row>
    <row r="13">
      <c r="C13" s="7" t="n">
        <v>4</v>
      </c>
      <c r="D13" s="7" t="n">
        <v>0</v>
      </c>
      <c r="E13" s="7" t="n">
        <v>196</v>
      </c>
      <c r="F13" s="7">
        <f>AVERAGE(E13:E15)</f>
        <v/>
      </c>
      <c r="G13" s="7" t="n"/>
      <c r="H13" s="7">
        <f>MAX(E13:E15)-MIN(E13:E15)</f>
        <v/>
      </c>
      <c r="I13" s="7" t="n"/>
    </row>
    <row r="14">
      <c r="C14" s="7" t="n">
        <v>4</v>
      </c>
      <c r="D14" s="7" t="n">
        <v>45</v>
      </c>
      <c r="E14" s="7" t="n">
        <v>197</v>
      </c>
      <c r="F14" s="7" t="n"/>
      <c r="G14" s="7" t="n"/>
      <c r="H14" s="7" t="n"/>
      <c r="I14" s="7" t="n"/>
    </row>
    <row r="15">
      <c r="C15" s="7" t="n">
        <v>4</v>
      </c>
      <c r="D15" s="7" t="n">
        <v>93</v>
      </c>
      <c r="E15" s="7" t="n">
        <v>198</v>
      </c>
      <c r="F15" s="7" t="n"/>
      <c r="G15" s="7" t="n"/>
      <c r="H15" s="7" t="n"/>
      <c r="I15" s="7" t="n"/>
    </row>
    <row r="16">
      <c r="C16" s="7" t="n">
        <v>5</v>
      </c>
      <c r="D16" s="7" t="n">
        <v>0</v>
      </c>
      <c r="E16" s="7" t="n">
        <v>196</v>
      </c>
      <c r="F16" s="7">
        <f>AVERAGE(E16:E18)</f>
        <v/>
      </c>
      <c r="G16" s="7" t="n"/>
      <c r="H16" s="7">
        <f>MAX(E16:E18)-MIN(E16:E18)</f>
        <v/>
      </c>
      <c r="I16" s="7" t="n"/>
    </row>
    <row r="17">
      <c r="C17" s="7" t="n">
        <v>5</v>
      </c>
      <c r="D17" s="7" t="n">
        <v>45</v>
      </c>
      <c r="E17" s="7" t="n">
        <v>197</v>
      </c>
      <c r="F17" s="7" t="n"/>
      <c r="G17" s="7" t="n"/>
      <c r="H17" s="7" t="n"/>
      <c r="I17" s="7" t="n"/>
    </row>
    <row r="18">
      <c r="C18" s="7" t="n">
        <v>5</v>
      </c>
      <c r="D18" s="7" t="n">
        <v>93</v>
      </c>
      <c r="E18" s="7" t="n">
        <v>198</v>
      </c>
      <c r="F18" s="7" t="n"/>
      <c r="G18" s="7" t="n"/>
      <c r="H18" s="7" t="n"/>
      <c r="I18" s="7" t="n"/>
    </row>
    <row r="19">
      <c r="B19" s="13" t="inlineStr">
        <is>
          <t>V3103</t>
        </is>
      </c>
      <c r="C19" s="7" t="n">
        <v>1</v>
      </c>
      <c r="D19" s="7" t="n">
        <v>0</v>
      </c>
      <c r="E19" s="7" t="n">
        <v>196</v>
      </c>
      <c r="F19" s="7">
        <f>AVERAGE(E19:E21)</f>
        <v/>
      </c>
      <c r="G19" s="7">
        <f>AVERAGE(F19:F31)</f>
        <v/>
      </c>
      <c r="H19" s="7">
        <f>MAX(E19:E21)-MIN(E19:E21)</f>
        <v/>
      </c>
      <c r="I19" s="7">
        <f>MAX(F19:F31)-MIN(F19:F31)</f>
        <v/>
      </c>
    </row>
    <row r="20">
      <c r="B20" s="13" t="n"/>
      <c r="C20" s="7" t="n">
        <v>1</v>
      </c>
      <c r="D20" s="7" t="n">
        <v>45</v>
      </c>
      <c r="E20" s="7" t="n">
        <v>197</v>
      </c>
      <c r="F20" s="7" t="n"/>
      <c r="G20" s="7" t="n"/>
      <c r="H20" s="7" t="n"/>
      <c r="I20" s="7" t="n"/>
    </row>
    <row r="21">
      <c r="B21" s="13" t="n"/>
      <c r="C21" s="7" t="n">
        <v>1</v>
      </c>
      <c r="D21" s="7" t="n">
        <v>93</v>
      </c>
      <c r="E21" s="7" t="n">
        <v>198</v>
      </c>
      <c r="F21" s="7" t="n"/>
      <c r="G21" s="7" t="n"/>
      <c r="H21" s="7" t="n"/>
      <c r="I21" s="7" t="n"/>
    </row>
    <row r="22">
      <c r="C22" s="7" t="n">
        <v>2</v>
      </c>
      <c r="D22" s="7" t="n">
        <v>0</v>
      </c>
      <c r="E22" s="7" t="n">
        <v>196</v>
      </c>
      <c r="F22" s="7">
        <f>AVERAGE(E22:E24)</f>
        <v/>
      </c>
      <c r="G22" s="7" t="n"/>
      <c r="H22" s="7">
        <f>MAX(E22:E24)-MIN(E22:E24)</f>
        <v/>
      </c>
      <c r="I22" s="7" t="n"/>
    </row>
    <row r="23">
      <c r="C23" s="7" t="n">
        <v>2</v>
      </c>
      <c r="D23" s="7" t="n">
        <v>45</v>
      </c>
      <c r="E23" s="7" t="n">
        <v>197</v>
      </c>
      <c r="F23" s="7" t="n"/>
      <c r="G23" s="7" t="n"/>
      <c r="H23" s="7" t="n"/>
      <c r="I23" s="7" t="n"/>
    </row>
    <row r="24">
      <c r="C24" s="7" t="n">
        <v>2</v>
      </c>
      <c r="D24" s="7" t="n">
        <v>93</v>
      </c>
      <c r="E24" s="7" t="n">
        <v>198</v>
      </c>
      <c r="F24" s="7" t="n"/>
      <c r="G24" s="7" t="n"/>
      <c r="H24" s="7" t="n"/>
      <c r="I24" s="7" t="n"/>
    </row>
    <row r="25">
      <c r="C25" s="7" t="n">
        <v>3</v>
      </c>
      <c r="D25" s="7" t="n">
        <v>0</v>
      </c>
      <c r="E25" s="7" t="n">
        <v>196</v>
      </c>
      <c r="F25" s="7">
        <f>AVERAGE(E25:E27)</f>
        <v/>
      </c>
      <c r="G25" s="7" t="n"/>
      <c r="H25" s="7">
        <f>MAX(E25:E27)-MIN(E25:E27)</f>
        <v/>
      </c>
      <c r="I25" s="7" t="n"/>
    </row>
    <row r="26">
      <c r="C26" s="7" t="n">
        <v>3</v>
      </c>
      <c r="D26" s="7" t="n">
        <v>45</v>
      </c>
      <c r="E26" s="7" t="n">
        <v>197</v>
      </c>
      <c r="F26" s="7" t="n"/>
      <c r="G26" s="7" t="n"/>
      <c r="H26" s="7" t="n"/>
      <c r="I26" s="7" t="n"/>
    </row>
    <row r="27">
      <c r="C27" s="7" t="n">
        <v>3</v>
      </c>
      <c r="D27" s="7" t="n">
        <v>93</v>
      </c>
      <c r="E27" s="7" t="n">
        <v>198</v>
      </c>
      <c r="F27" s="7" t="n"/>
      <c r="G27" s="7" t="n"/>
      <c r="H27" s="7" t="n"/>
      <c r="I27" s="7" t="n"/>
    </row>
    <row r="28">
      <c r="C28" s="7" t="n">
        <v>4</v>
      </c>
      <c r="D28" s="7" t="n">
        <v>0</v>
      </c>
      <c r="E28" s="7" t="n">
        <v>196</v>
      </c>
      <c r="F28" s="7">
        <f>AVERAGE(E28:E30)</f>
        <v/>
      </c>
      <c r="G28" s="7" t="n"/>
      <c r="H28" s="7">
        <f>MAX(E28:E30)-MIN(E28:E30)</f>
        <v/>
      </c>
      <c r="I28" s="7" t="n"/>
    </row>
    <row r="29">
      <c r="C29" s="7" t="n">
        <v>4</v>
      </c>
      <c r="D29" s="7" t="n">
        <v>45</v>
      </c>
      <c r="E29" s="7" t="n">
        <v>197</v>
      </c>
      <c r="F29" s="7" t="n"/>
      <c r="G29" s="7" t="n"/>
      <c r="H29" s="7" t="n"/>
      <c r="I29" s="7" t="n"/>
    </row>
    <row r="30">
      <c r="C30" s="7" t="n">
        <v>4</v>
      </c>
      <c r="D30" s="7" t="n">
        <v>93</v>
      </c>
      <c r="E30" s="7" t="n">
        <v>198</v>
      </c>
      <c r="F30" s="7" t="n"/>
      <c r="G30" s="7" t="n"/>
      <c r="H30" s="7" t="n"/>
      <c r="I30" s="7" t="n"/>
    </row>
    <row r="31">
      <c r="C31" s="7" t="n">
        <v>5</v>
      </c>
      <c r="D31" s="7" t="n">
        <v>0</v>
      </c>
      <c r="E31" s="7" t="n">
        <v>196</v>
      </c>
      <c r="F31" s="7">
        <f>AVERAGE(E31:E33)</f>
        <v/>
      </c>
      <c r="G31" s="7" t="n"/>
      <c r="H31" s="7">
        <f>MAX(E31:E33)-MIN(E31:E33)</f>
        <v/>
      </c>
      <c r="I31" s="7" t="n"/>
    </row>
    <row r="32">
      <c r="C32" s="7" t="n">
        <v>5</v>
      </c>
      <c r="D32" s="7" t="n">
        <v>45</v>
      </c>
      <c r="E32" s="7" t="n">
        <v>197</v>
      </c>
      <c r="F32" s="7" t="n"/>
      <c r="G32" s="7" t="n"/>
      <c r="H32" s="7" t="n"/>
      <c r="I32" s="7" t="n"/>
    </row>
    <row r="33">
      <c r="C33" s="7" t="n">
        <v>5</v>
      </c>
      <c r="D33" s="7" t="n">
        <v>93</v>
      </c>
      <c r="E33" s="7" t="n">
        <v>198</v>
      </c>
      <c r="F33" s="7" t="n"/>
      <c r="G33" s="7" t="n"/>
      <c r="H33" s="7" t="n"/>
      <c r="I33" s="7" t="n"/>
    </row>
    <row r="34">
      <c r="B34" s="13" t="inlineStr">
        <is>
          <t>V3103</t>
        </is>
      </c>
      <c r="C34" s="7" t="n">
        <v>1</v>
      </c>
      <c r="D34" s="7" t="n">
        <v>0</v>
      </c>
      <c r="E34" s="7" t="n">
        <v>196</v>
      </c>
      <c r="F34" s="7">
        <f>AVERAGE(E34:E36)</f>
        <v/>
      </c>
      <c r="G34" s="7">
        <f>AVERAGE(F34:F46)</f>
        <v/>
      </c>
      <c r="H34" s="7">
        <f>MAX(E34:E36)-MIN(E34:E36)</f>
        <v/>
      </c>
      <c r="I34" s="7">
        <f>MAX(F34:F46)-MIN(F34:F46)</f>
        <v/>
      </c>
    </row>
    <row r="35">
      <c r="B35" s="13" t="n"/>
      <c r="C35" s="7" t="n">
        <v>1</v>
      </c>
      <c r="D35" s="7" t="n">
        <v>45</v>
      </c>
      <c r="E35" s="7" t="n">
        <v>197</v>
      </c>
      <c r="F35" s="7" t="n"/>
      <c r="G35" s="7" t="n"/>
      <c r="H35" s="7" t="n"/>
      <c r="I35" s="7" t="n"/>
    </row>
    <row r="36">
      <c r="B36" s="13" t="n"/>
      <c r="C36" s="7" t="n">
        <v>1</v>
      </c>
      <c r="D36" s="7" t="n">
        <v>93</v>
      </c>
      <c r="E36" s="7" t="n">
        <v>198</v>
      </c>
      <c r="F36" s="7" t="n"/>
      <c r="G36" s="7" t="n"/>
      <c r="H36" s="7" t="n"/>
      <c r="I36" s="7" t="n"/>
    </row>
    <row r="37">
      <c r="C37" s="7" t="n">
        <v>2</v>
      </c>
      <c r="D37" s="7" t="n">
        <v>0</v>
      </c>
      <c r="E37" s="7" t="n">
        <v>196</v>
      </c>
      <c r="F37" s="7">
        <f>AVERAGE(E37:E39)</f>
        <v/>
      </c>
      <c r="G37" s="7" t="n"/>
      <c r="H37" s="7">
        <f>MAX(E37:E39)-MIN(E37:E39)</f>
        <v/>
      </c>
      <c r="I37" s="7" t="n"/>
    </row>
    <row r="38">
      <c r="C38" s="7" t="n">
        <v>2</v>
      </c>
      <c r="D38" s="7" t="n">
        <v>45</v>
      </c>
      <c r="E38" s="7" t="n">
        <v>197</v>
      </c>
      <c r="F38" s="7" t="n"/>
      <c r="G38" s="7" t="n"/>
      <c r="H38" s="7" t="n"/>
      <c r="I38" s="7" t="n"/>
    </row>
    <row r="39">
      <c r="C39" s="7" t="n">
        <v>2</v>
      </c>
      <c r="D39" s="7" t="n">
        <v>93</v>
      </c>
      <c r="E39" s="7" t="n">
        <v>198</v>
      </c>
      <c r="F39" s="7" t="n"/>
      <c r="G39" s="7" t="n"/>
      <c r="H39" s="7" t="n"/>
      <c r="I39" s="7" t="n"/>
    </row>
    <row r="40">
      <c r="C40" s="7" t="n">
        <v>3</v>
      </c>
      <c r="D40" s="7" t="n">
        <v>0</v>
      </c>
      <c r="E40" s="7" t="n">
        <v>196</v>
      </c>
      <c r="F40" s="7">
        <f>AVERAGE(E40:E42)</f>
        <v/>
      </c>
      <c r="G40" s="7" t="n"/>
      <c r="H40" s="7">
        <f>MAX(E40:E42)-MIN(E40:E42)</f>
        <v/>
      </c>
      <c r="I40" s="7" t="n"/>
    </row>
    <row r="41">
      <c r="C41" s="7" t="n">
        <v>3</v>
      </c>
      <c r="D41" s="7" t="n">
        <v>45</v>
      </c>
      <c r="E41" s="7" t="n">
        <v>197</v>
      </c>
      <c r="F41" s="7" t="n"/>
      <c r="G41" s="7" t="n"/>
      <c r="H41" s="7" t="n"/>
      <c r="I41" s="7" t="n"/>
    </row>
    <row r="42">
      <c r="C42" s="7" t="n">
        <v>3</v>
      </c>
      <c r="D42" s="7" t="n">
        <v>93</v>
      </c>
      <c r="E42" s="7" t="n">
        <v>198</v>
      </c>
      <c r="F42" s="7" t="n"/>
      <c r="G42" s="7" t="n"/>
      <c r="H42" s="7" t="n"/>
      <c r="I42" s="7" t="n"/>
    </row>
    <row r="43">
      <c r="C43" s="7" t="n">
        <v>4</v>
      </c>
      <c r="D43" s="7" t="n">
        <v>0</v>
      </c>
      <c r="E43" s="7" t="n">
        <v>196</v>
      </c>
      <c r="F43" s="7">
        <f>AVERAGE(E43:E45)</f>
        <v/>
      </c>
      <c r="G43" s="7" t="n"/>
      <c r="H43" s="7">
        <f>MAX(E43:E45)-MIN(E43:E45)</f>
        <v/>
      </c>
      <c r="I43" s="7" t="n"/>
    </row>
    <row r="44">
      <c r="C44" s="7" t="n">
        <v>4</v>
      </c>
      <c r="D44" s="7" t="n">
        <v>45</v>
      </c>
      <c r="E44" s="7" t="n">
        <v>197</v>
      </c>
      <c r="F44" s="7" t="n"/>
      <c r="G44" s="7" t="n"/>
      <c r="H44" s="7" t="n"/>
      <c r="I44" s="7" t="n"/>
    </row>
    <row r="45">
      <c r="C45" s="7" t="n">
        <v>4</v>
      </c>
      <c r="D45" s="7" t="n">
        <v>93</v>
      </c>
      <c r="E45" s="7" t="n">
        <v>198</v>
      </c>
      <c r="F45" s="7" t="n"/>
      <c r="G45" s="7" t="n"/>
      <c r="H45" s="7" t="n"/>
      <c r="I45" s="7" t="n"/>
    </row>
    <row r="46">
      <c r="C46" s="7" t="n">
        <v>5</v>
      </c>
      <c r="D46" s="7" t="n">
        <v>0</v>
      </c>
      <c r="E46" s="7" t="n">
        <v>196</v>
      </c>
      <c r="F46" s="7">
        <f>AVERAGE(E46:E48)</f>
        <v/>
      </c>
      <c r="G46" s="7" t="n"/>
      <c r="H46" s="7">
        <f>MAX(E46:E48)-MIN(E46:E48)</f>
        <v/>
      </c>
      <c r="I46" s="7" t="n"/>
    </row>
    <row r="47">
      <c r="C47" s="7" t="n">
        <v>5</v>
      </c>
      <c r="D47" s="7" t="n">
        <v>45</v>
      </c>
      <c r="E47" s="7" t="n">
        <v>197</v>
      </c>
      <c r="F47" s="7" t="n"/>
      <c r="G47" s="7" t="n"/>
      <c r="H47" s="7" t="n"/>
      <c r="I47" s="7" t="n"/>
    </row>
    <row r="48">
      <c r="C48" s="7" t="n">
        <v>5</v>
      </c>
      <c r="D48" s="7" t="n">
        <v>93</v>
      </c>
      <c r="E48" s="7" t="n">
        <v>198</v>
      </c>
      <c r="F48" s="7" t="n"/>
      <c r="G48" s="7" t="n"/>
      <c r="H48" s="7" t="n"/>
      <c r="I48" s="7" t="n"/>
    </row>
  </sheetData>
  <mergeCells count="5">
    <mergeCell ref="B4:B6"/>
    <mergeCell ref="B34:B36"/>
    <mergeCell ref="B19:B21"/>
    <mergeCell ref="K3:M3"/>
    <mergeCell ref="K7:M7"/>
  </mergeCells>
  <conditionalFormatting sqref="F4">
    <cfRule type="cellIs" priority="1" operator="between" dxfId="0" stopIfTrue="1">
      <formula>20.21</formula>
      <formula>32.75</formula>
    </cfRule>
    <cfRule type="cellIs" priority="2" operator="notBetween" dxfId="1" stopIfTrue="1">
      <formula>20.21</formula>
      <formula>32.75</formula>
    </cfRule>
  </conditionalFormatting>
  <conditionalFormatting sqref="F7">
    <cfRule type="cellIs" priority="3" operator="between" dxfId="0" stopIfTrue="1">
      <formula>20.21</formula>
      <formula>32.75</formula>
    </cfRule>
    <cfRule type="cellIs" priority="4" operator="notBetween" dxfId="1" stopIfTrue="1">
      <formula>20.21</formula>
      <formula>32.75</formula>
    </cfRule>
  </conditionalFormatting>
  <conditionalFormatting sqref="F10">
    <cfRule type="cellIs" priority="5" operator="between" dxfId="0" stopIfTrue="1">
      <formula>20.21</formula>
      <formula>32.75</formula>
    </cfRule>
    <cfRule type="cellIs" priority="6" operator="notBetween" dxfId="1" stopIfTrue="1">
      <formula>20.21</formula>
      <formula>32.75</formula>
    </cfRule>
  </conditionalFormatting>
  <conditionalFormatting sqref="F13">
    <cfRule type="cellIs" priority="7" operator="between" dxfId="0" stopIfTrue="1">
      <formula>20.21</formula>
      <formula>32.75</formula>
    </cfRule>
    <cfRule type="cellIs" priority="8" operator="notBetween" dxfId="1" stopIfTrue="1">
      <formula>20.21</formula>
      <formula>32.75</formula>
    </cfRule>
  </conditionalFormatting>
  <conditionalFormatting sqref="F16">
    <cfRule type="cellIs" priority="9" operator="between" dxfId="0" stopIfTrue="1">
      <formula>20.21</formula>
      <formula>32.75</formula>
    </cfRule>
    <cfRule type="cellIs" priority="10" operator="notBetween" dxfId="1" stopIfTrue="1">
      <formula>20.21</formula>
      <formula>32.75</formula>
    </cfRule>
  </conditionalFormatting>
  <conditionalFormatting sqref="F19">
    <cfRule type="cellIs" priority="11" operator="between" dxfId="0" stopIfTrue="1">
      <formula>20.21</formula>
      <formula>32.75</formula>
    </cfRule>
    <cfRule type="cellIs" priority="12" operator="notBetween" dxfId="1" stopIfTrue="1">
      <formula>20.21</formula>
      <formula>32.75</formula>
    </cfRule>
  </conditionalFormatting>
  <conditionalFormatting sqref="F22">
    <cfRule type="cellIs" priority="13" operator="between" dxfId="0" stopIfTrue="1">
      <formula>20.21</formula>
      <formula>32.75</formula>
    </cfRule>
    <cfRule type="cellIs" priority="14" operator="notBetween" dxfId="1" stopIfTrue="1">
      <formula>20.21</formula>
      <formula>32.75</formula>
    </cfRule>
  </conditionalFormatting>
  <conditionalFormatting sqref="F25">
    <cfRule type="cellIs" priority="15" operator="between" dxfId="0" stopIfTrue="1">
      <formula>20.21</formula>
      <formula>32.75</formula>
    </cfRule>
    <cfRule type="cellIs" priority="16" operator="notBetween" dxfId="1" stopIfTrue="1">
      <formula>20.21</formula>
      <formula>32.75</formula>
    </cfRule>
  </conditionalFormatting>
  <conditionalFormatting sqref="F28">
    <cfRule type="cellIs" priority="17" operator="between" dxfId="0" stopIfTrue="1">
      <formula>20.21</formula>
      <formula>32.75</formula>
    </cfRule>
    <cfRule type="cellIs" priority="18" operator="notBetween" dxfId="1" stopIfTrue="1">
      <formula>20.21</formula>
      <formula>32.75</formula>
    </cfRule>
  </conditionalFormatting>
  <conditionalFormatting sqref="F31">
    <cfRule type="cellIs" priority="19" operator="between" dxfId="0" stopIfTrue="1">
      <formula>20.21</formula>
      <formula>32.75</formula>
    </cfRule>
    <cfRule type="cellIs" priority="20" operator="notBetween" dxfId="1" stopIfTrue="1">
      <formula>20.21</formula>
      <formula>32.75</formula>
    </cfRule>
  </conditionalFormatting>
  <conditionalFormatting sqref="F34">
    <cfRule type="cellIs" priority="21" operator="between" dxfId="0" stopIfTrue="1">
      <formula>20.21</formula>
      <formula>32.75</formula>
    </cfRule>
    <cfRule type="cellIs" priority="22" operator="notBetween" dxfId="1" stopIfTrue="1">
      <formula>20.21</formula>
      <formula>32.75</formula>
    </cfRule>
  </conditionalFormatting>
  <conditionalFormatting sqref="F37">
    <cfRule type="cellIs" priority="23" operator="between" dxfId="0" stopIfTrue="1">
      <formula>20.21</formula>
      <formula>32.75</formula>
    </cfRule>
    <cfRule type="cellIs" priority="24" operator="notBetween" dxfId="1" stopIfTrue="1">
      <formula>20.21</formula>
      <formula>32.75</formula>
    </cfRule>
  </conditionalFormatting>
  <conditionalFormatting sqref="F40">
    <cfRule type="cellIs" priority="25" operator="between" dxfId="0" stopIfTrue="1">
      <formula>20.21</formula>
      <formula>32.75</formula>
    </cfRule>
    <cfRule type="cellIs" priority="26" operator="notBetween" dxfId="1" stopIfTrue="1">
      <formula>20.21</formula>
      <formula>32.75</formula>
    </cfRule>
  </conditionalFormatting>
  <conditionalFormatting sqref="F43">
    <cfRule type="cellIs" priority="27" operator="between" dxfId="0" stopIfTrue="1">
      <formula>20.21</formula>
      <formula>32.75</formula>
    </cfRule>
    <cfRule type="cellIs" priority="28" operator="notBetween" dxfId="1" stopIfTrue="1">
      <formula>20.21</formula>
      <formula>32.75</formula>
    </cfRule>
  </conditionalFormatting>
  <conditionalFormatting sqref="F46">
    <cfRule type="cellIs" priority="29" operator="between" dxfId="0" stopIfTrue="1">
      <formula>20.21</formula>
      <formula>32.75</formula>
    </cfRule>
    <cfRule type="cellIs" priority="30" operator="notBetween" dxfId="1" stopIfTrue="1">
      <formula>20.21</formula>
      <formula>32.75</formula>
    </cfRule>
  </conditionalFormatting>
  <conditionalFormatting sqref="G4">
    <cfRule type="cellIs" priority="31" operator="between" dxfId="0" stopIfTrue="1">
      <formula>20.21</formula>
      <formula>32.75</formula>
    </cfRule>
    <cfRule type="cellIs" priority="32" operator="notBetween" dxfId="1" stopIfTrue="1">
      <formula>20.21</formula>
      <formula>32.75</formula>
    </cfRule>
  </conditionalFormatting>
  <conditionalFormatting sqref="G19">
    <cfRule type="cellIs" priority="33" operator="between" dxfId="0" stopIfTrue="1">
      <formula>20.21</formula>
      <formula>32.75</formula>
    </cfRule>
    <cfRule type="cellIs" priority="34" operator="notBetween" dxfId="1" stopIfTrue="1">
      <formula>20.21</formula>
      <formula>32.75</formula>
    </cfRule>
  </conditionalFormatting>
  <conditionalFormatting sqref="G34">
    <cfRule type="cellIs" priority="35" operator="between" dxfId="0" stopIfTrue="1">
      <formula>20.21</formula>
      <formula>32.75</formula>
    </cfRule>
    <cfRule type="cellIs" priority="36" operator="notBetween" dxfId="1" stopIfTrue="1">
      <formula>20.21</formula>
      <formula>32.75</formula>
    </cfRule>
  </conditionalFormatting>
  <conditionalFormatting sqref="H4">
    <cfRule type="cellIs" priority="37" operator="lessThanOrEqual" dxfId="0" stopIfTrue="1">
      <formula>1.56</formula>
    </cfRule>
    <cfRule type="cellIs" priority="38" operator="greaterThan" dxfId="1" stopIfTrue="1">
      <formula>1.56</formula>
    </cfRule>
  </conditionalFormatting>
  <conditionalFormatting sqref="H7">
    <cfRule type="cellIs" priority="39" operator="lessThanOrEqual" dxfId="0" stopIfTrue="1">
      <formula>1.56</formula>
    </cfRule>
    <cfRule type="cellIs" priority="40" operator="greaterThan" dxfId="1" stopIfTrue="1">
      <formula>1.56</formula>
    </cfRule>
  </conditionalFormatting>
  <conditionalFormatting sqref="H10">
    <cfRule type="cellIs" priority="41" operator="lessThanOrEqual" dxfId="0" stopIfTrue="1">
      <formula>1.56</formula>
    </cfRule>
    <cfRule type="cellIs" priority="42" operator="greaterThan" dxfId="1" stopIfTrue="1">
      <formula>1.56</formula>
    </cfRule>
  </conditionalFormatting>
  <conditionalFormatting sqref="H13">
    <cfRule type="cellIs" priority="43" operator="lessThanOrEqual" dxfId="0" stopIfTrue="1">
      <formula>1.56</formula>
    </cfRule>
    <cfRule type="cellIs" priority="44" operator="greaterThan" dxfId="1" stopIfTrue="1">
      <formula>1.56</formula>
    </cfRule>
  </conditionalFormatting>
  <conditionalFormatting sqref="H16">
    <cfRule type="cellIs" priority="45" operator="lessThanOrEqual" dxfId="0" stopIfTrue="1">
      <formula>1.56</formula>
    </cfRule>
    <cfRule type="cellIs" priority="46" operator="greaterThan" dxfId="1" stopIfTrue="1">
      <formula>1.56</formula>
    </cfRule>
  </conditionalFormatting>
  <conditionalFormatting sqref="H19">
    <cfRule type="cellIs" priority="47" operator="lessThanOrEqual" dxfId="0" stopIfTrue="1">
      <formula>1.56</formula>
    </cfRule>
    <cfRule type="cellIs" priority="48" operator="greaterThan" dxfId="1" stopIfTrue="1">
      <formula>1.56</formula>
    </cfRule>
  </conditionalFormatting>
  <conditionalFormatting sqref="H22">
    <cfRule type="cellIs" priority="49" operator="lessThanOrEqual" dxfId="0" stopIfTrue="1">
      <formula>1.56</formula>
    </cfRule>
    <cfRule type="cellIs" priority="50" operator="greaterThan" dxfId="1" stopIfTrue="1">
      <formula>1.56</formula>
    </cfRule>
  </conditionalFormatting>
  <conditionalFormatting sqref="H25">
    <cfRule type="cellIs" priority="51" operator="lessThanOrEqual" dxfId="0" stopIfTrue="1">
      <formula>1.56</formula>
    </cfRule>
    <cfRule type="cellIs" priority="52" operator="greaterThan" dxfId="1" stopIfTrue="1">
      <formula>1.56</formula>
    </cfRule>
  </conditionalFormatting>
  <conditionalFormatting sqref="H28">
    <cfRule type="cellIs" priority="53" operator="lessThanOrEqual" dxfId="0" stopIfTrue="1">
      <formula>1.56</formula>
    </cfRule>
    <cfRule type="cellIs" priority="54" operator="greaterThan" dxfId="1" stopIfTrue="1">
      <formula>1.56</formula>
    </cfRule>
  </conditionalFormatting>
  <conditionalFormatting sqref="H31">
    <cfRule type="cellIs" priority="55" operator="lessThanOrEqual" dxfId="0" stopIfTrue="1">
      <formula>1.56</formula>
    </cfRule>
    <cfRule type="cellIs" priority="56" operator="greaterThan" dxfId="1" stopIfTrue="1">
      <formula>1.56</formula>
    </cfRule>
  </conditionalFormatting>
  <conditionalFormatting sqref="H34">
    <cfRule type="cellIs" priority="57" operator="lessThanOrEqual" dxfId="0" stopIfTrue="1">
      <formula>1.56</formula>
    </cfRule>
    <cfRule type="cellIs" priority="58" operator="greaterThan" dxfId="1" stopIfTrue="1">
      <formula>1.56</formula>
    </cfRule>
  </conditionalFormatting>
  <conditionalFormatting sqref="H37">
    <cfRule type="cellIs" priority="59" operator="lessThanOrEqual" dxfId="0" stopIfTrue="1">
      <formula>1.56</formula>
    </cfRule>
    <cfRule type="cellIs" priority="60" operator="greaterThan" dxfId="1" stopIfTrue="1">
      <formula>1.56</formula>
    </cfRule>
  </conditionalFormatting>
  <conditionalFormatting sqref="H40">
    <cfRule type="cellIs" priority="61" operator="lessThanOrEqual" dxfId="0" stopIfTrue="1">
      <formula>1.56</formula>
    </cfRule>
    <cfRule type="cellIs" priority="62" operator="greaterThan" dxfId="1" stopIfTrue="1">
      <formula>1.56</formula>
    </cfRule>
  </conditionalFormatting>
  <conditionalFormatting sqref="H43">
    <cfRule type="cellIs" priority="63" operator="lessThanOrEqual" dxfId="0" stopIfTrue="1">
      <formula>1.56</formula>
    </cfRule>
    <cfRule type="cellIs" priority="64" operator="greaterThan" dxfId="1" stopIfTrue="1">
      <formula>1.56</formula>
    </cfRule>
  </conditionalFormatting>
  <conditionalFormatting sqref="H46">
    <cfRule type="cellIs" priority="65" operator="lessThanOrEqual" dxfId="0" stopIfTrue="1">
      <formula>1.56</formula>
    </cfRule>
    <cfRule type="cellIs" priority="66" operator="greaterThan" dxfId="1" stopIfTrue="1">
      <formula>1.56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M48"/>
  <sheetViews>
    <sheetView workbookViewId="0">
      <selection activeCell="A1" sqref="A1"/>
    </sheetView>
  </sheetViews>
  <sheetFormatPr baseColWidth="8" defaultRowHeight="15"/>
  <cols>
    <col width="2" customWidth="1" min="1" max="1"/>
    <col width="16.44" customWidth="1" min="2" max="2"/>
    <col width="16.44" customWidth="1" min="3" max="3"/>
    <col width="16.44" customWidth="1" min="4" max="4"/>
    <col width="16.44" customWidth="1" min="5" max="5"/>
    <col width="16.44" customWidth="1" min="6" max="6"/>
    <col width="16.44" customWidth="1" min="7" max="7"/>
    <col width="16.44" customWidth="1" min="8" max="8"/>
    <col width="16.44" customWidth="1" min="9" max="9"/>
    <col width="10" customWidth="1" min="11" max="11"/>
    <col width="10" customWidth="1" min="12" max="12"/>
    <col width="10" customWidth="1" min="13" max="13"/>
  </cols>
  <sheetData>
    <row r="3">
      <c r="C3" s="6" t="inlineStr">
        <is>
          <t>Slot No.</t>
        </is>
      </c>
      <c r="D3" s="6" t="inlineStr">
        <is>
          <t>Coordinate</t>
        </is>
      </c>
      <c r="E3" s="6" t="inlineStr">
        <is>
          <t>XRD006-FWHM</t>
        </is>
      </c>
      <c r="F3" s="6" t="inlineStr">
        <is>
          <t>Wafer Average</t>
        </is>
      </c>
      <c r="G3" s="6" t="inlineStr">
        <is>
          <t>Run Average</t>
        </is>
      </c>
      <c r="H3" s="6" t="inlineStr">
        <is>
          <t>WW Uniformity</t>
        </is>
      </c>
      <c r="I3" s="6" t="inlineStr">
        <is>
          <t>W-W Uniformity</t>
        </is>
      </c>
      <c r="K3" s="2" t="inlineStr">
        <is>
          <t>SPECs (Arcsecond)</t>
        </is>
      </c>
      <c r="L3" s="4" t="n"/>
      <c r="M3" s="5" t="n"/>
    </row>
    <row r="4">
      <c r="B4" s="13" t="inlineStr">
        <is>
          <t>V3103</t>
        </is>
      </c>
      <c r="C4" s="7" t="n">
        <v>1</v>
      </c>
      <c r="D4" s="7" t="n">
        <v>0</v>
      </c>
      <c r="E4" s="7" t="n">
        <v>199</v>
      </c>
      <c r="F4" s="7">
        <f>AVERAGE(E4:E6)</f>
        <v/>
      </c>
      <c r="G4" s="7">
        <f>AVERAGE(F4:F16)</f>
        <v/>
      </c>
      <c r="H4" s="7">
        <f>MAX(E4:E6)-MIN(E4:E6)</f>
        <v/>
      </c>
      <c r="I4" s="7">
        <f>MAX(F4:F16)-MIN(F4:F16)</f>
        <v/>
      </c>
      <c r="K4" s="6" t="inlineStr">
        <is>
          <t>Min</t>
        </is>
      </c>
      <c r="L4" s="6" t="inlineStr">
        <is>
          <t>Target</t>
        </is>
      </c>
      <c r="M4" s="6" t="inlineStr">
        <is>
          <t>Max</t>
        </is>
      </c>
    </row>
    <row r="5">
      <c r="B5" s="13" t="n"/>
      <c r="C5" s="7" t="n">
        <v>1</v>
      </c>
      <c r="D5" s="7" t="n">
        <v>45</v>
      </c>
      <c r="E5" s="7" t="n">
        <v>200</v>
      </c>
      <c r="F5" s="7" t="n"/>
      <c r="G5" s="7" t="n"/>
      <c r="H5" s="7" t="n"/>
      <c r="I5" s="7" t="n"/>
      <c r="K5" s="7" t="n">
        <v>17.55</v>
      </c>
      <c r="L5" s="7" t="n">
        <v>18.73</v>
      </c>
      <c r="M5" s="7" t="n">
        <v>19.91</v>
      </c>
    </row>
    <row r="6">
      <c r="B6" s="13" t="n"/>
      <c r="C6" s="7" t="n">
        <v>1</v>
      </c>
      <c r="D6" s="7" t="n">
        <v>93</v>
      </c>
      <c r="E6" s="7" t="n">
        <v>201</v>
      </c>
      <c r="F6" s="7" t="n"/>
      <c r="G6" s="7" t="n"/>
      <c r="H6" s="7" t="n"/>
      <c r="I6" s="7" t="n"/>
    </row>
    <row r="7">
      <c r="C7" s="7" t="n">
        <v>2</v>
      </c>
      <c r="D7" s="7" t="n">
        <v>0</v>
      </c>
      <c r="E7" s="7" t="n">
        <v>199</v>
      </c>
      <c r="F7" s="7">
        <f>AVERAGE(E7:E9)</f>
        <v/>
      </c>
      <c r="G7" s="7" t="n"/>
      <c r="H7" s="7">
        <f>MAX(E7:E9)-MIN(E7:E9)</f>
        <v/>
      </c>
      <c r="I7" s="7" t="n"/>
      <c r="K7" s="2" t="inlineStr">
        <is>
          <t>SPECs of Max-Min (Arcsecond)</t>
        </is>
      </c>
      <c r="L7" s="4" t="n"/>
      <c r="M7" s="5" t="n"/>
    </row>
    <row r="8">
      <c r="C8" s="7" t="n">
        <v>2</v>
      </c>
      <c r="D8" s="7" t="n">
        <v>45</v>
      </c>
      <c r="E8" s="7" t="n">
        <v>200</v>
      </c>
      <c r="F8" s="7" t="n"/>
      <c r="G8" s="7" t="n"/>
      <c r="H8" s="7" t="n"/>
      <c r="I8" s="7" t="n"/>
      <c r="K8" s="6" t="inlineStr">
        <is>
          <t>WW</t>
        </is>
      </c>
      <c r="L8" s="6" t="inlineStr">
        <is>
          <t>W-2-W</t>
        </is>
      </c>
      <c r="M8" s="6" t="inlineStr">
        <is>
          <t>R-2-R</t>
        </is>
      </c>
    </row>
    <row r="9">
      <c r="C9" s="7" t="n">
        <v>2</v>
      </c>
      <c r="D9" s="7" t="n">
        <v>93</v>
      </c>
      <c r="E9" s="7" t="n">
        <v>201</v>
      </c>
      <c r="F9" s="7" t="n"/>
      <c r="G9" s="7" t="n"/>
      <c r="H9" s="7" t="n"/>
      <c r="I9" s="7" t="n"/>
      <c r="K9" s="7" t="n">
        <v>0.769</v>
      </c>
      <c r="L9" s="7" t="inlineStr">
        <is>
          <t>-</t>
        </is>
      </c>
      <c r="M9" s="7" t="inlineStr">
        <is>
          <t>-</t>
        </is>
      </c>
    </row>
    <row r="10">
      <c r="C10" s="7" t="n">
        <v>3</v>
      </c>
      <c r="D10" s="7" t="n">
        <v>0</v>
      </c>
      <c r="E10" s="7" t="n">
        <v>199</v>
      </c>
      <c r="F10" s="7">
        <f>AVERAGE(E10:E12)</f>
        <v/>
      </c>
      <c r="G10" s="7" t="n"/>
      <c r="H10" s="7">
        <f>MAX(E10:E12)-MIN(E10:E12)</f>
        <v/>
      </c>
      <c r="I10" s="7" t="n"/>
    </row>
    <row r="11">
      <c r="C11" s="7" t="n">
        <v>3</v>
      </c>
      <c r="D11" s="7" t="n">
        <v>45</v>
      </c>
      <c r="E11" s="7" t="n">
        <v>200</v>
      </c>
      <c r="F11" s="7" t="n"/>
      <c r="G11" s="7" t="n"/>
      <c r="H11" s="7" t="n"/>
      <c r="I11" s="7" t="n"/>
    </row>
    <row r="12">
      <c r="C12" s="7" t="n">
        <v>3</v>
      </c>
      <c r="D12" s="7" t="n">
        <v>93</v>
      </c>
      <c r="E12" s="7" t="n">
        <v>201</v>
      </c>
      <c r="F12" s="7" t="n"/>
      <c r="G12" s="7" t="n"/>
      <c r="H12" s="7" t="n"/>
      <c r="I12" s="7" t="n"/>
    </row>
    <row r="13">
      <c r="C13" s="7" t="n">
        <v>4</v>
      </c>
      <c r="D13" s="7" t="n">
        <v>0</v>
      </c>
      <c r="E13" s="7" t="n">
        <v>199</v>
      </c>
      <c r="F13" s="7">
        <f>AVERAGE(E13:E15)</f>
        <v/>
      </c>
      <c r="G13" s="7" t="n"/>
      <c r="H13" s="7">
        <f>MAX(E13:E15)-MIN(E13:E15)</f>
        <v/>
      </c>
      <c r="I13" s="7" t="n"/>
    </row>
    <row r="14">
      <c r="C14" s="7" t="n">
        <v>4</v>
      </c>
      <c r="D14" s="7" t="n">
        <v>45</v>
      </c>
      <c r="E14" s="7" t="n">
        <v>200</v>
      </c>
      <c r="F14" s="7" t="n"/>
      <c r="G14" s="7" t="n"/>
      <c r="H14" s="7" t="n"/>
      <c r="I14" s="7" t="n"/>
    </row>
    <row r="15">
      <c r="C15" s="7" t="n">
        <v>4</v>
      </c>
      <c r="D15" s="7" t="n">
        <v>93</v>
      </c>
      <c r="E15" s="7" t="n">
        <v>201</v>
      </c>
      <c r="F15" s="7" t="n"/>
      <c r="G15" s="7" t="n"/>
      <c r="H15" s="7" t="n"/>
      <c r="I15" s="7" t="n"/>
    </row>
    <row r="16">
      <c r="C16" s="7" t="n">
        <v>5</v>
      </c>
      <c r="D16" s="7" t="n">
        <v>0</v>
      </c>
      <c r="E16" s="7" t="n">
        <v>199</v>
      </c>
      <c r="F16" s="7">
        <f>AVERAGE(E16:E18)</f>
        <v/>
      </c>
      <c r="G16" s="7" t="n"/>
      <c r="H16" s="7">
        <f>MAX(E16:E18)-MIN(E16:E18)</f>
        <v/>
      </c>
      <c r="I16" s="7" t="n"/>
    </row>
    <row r="17">
      <c r="C17" s="7" t="n">
        <v>5</v>
      </c>
      <c r="D17" s="7" t="n">
        <v>45</v>
      </c>
      <c r="E17" s="7" t="n">
        <v>200</v>
      </c>
      <c r="F17" s="7" t="n"/>
      <c r="G17" s="7" t="n"/>
      <c r="H17" s="7" t="n"/>
      <c r="I17" s="7" t="n"/>
    </row>
    <row r="18">
      <c r="C18" s="7" t="n">
        <v>5</v>
      </c>
      <c r="D18" s="7" t="n">
        <v>93</v>
      </c>
      <c r="E18" s="7" t="n">
        <v>201</v>
      </c>
      <c r="F18" s="7" t="n"/>
      <c r="G18" s="7" t="n"/>
      <c r="H18" s="7" t="n"/>
      <c r="I18" s="7" t="n"/>
    </row>
    <row r="19">
      <c r="B19" s="13" t="inlineStr">
        <is>
          <t>V3103</t>
        </is>
      </c>
      <c r="C19" s="7" t="n">
        <v>1</v>
      </c>
      <c r="D19" s="7" t="n">
        <v>0</v>
      </c>
      <c r="E19" s="7" t="n">
        <v>199</v>
      </c>
      <c r="F19" s="7">
        <f>AVERAGE(E19:E21)</f>
        <v/>
      </c>
      <c r="G19" s="7">
        <f>AVERAGE(F19:F31)</f>
        <v/>
      </c>
      <c r="H19" s="7">
        <f>MAX(E19:E21)-MIN(E19:E21)</f>
        <v/>
      </c>
      <c r="I19" s="7">
        <f>MAX(F19:F31)-MIN(F19:F31)</f>
        <v/>
      </c>
    </row>
    <row r="20">
      <c r="B20" s="13" t="n"/>
      <c r="C20" s="7" t="n">
        <v>1</v>
      </c>
      <c r="D20" s="7" t="n">
        <v>45</v>
      </c>
      <c r="E20" s="7" t="n">
        <v>200</v>
      </c>
      <c r="F20" s="7" t="n"/>
      <c r="G20" s="7" t="n"/>
      <c r="H20" s="7" t="n"/>
      <c r="I20" s="7" t="n"/>
    </row>
    <row r="21">
      <c r="B21" s="13" t="n"/>
      <c r="C21" s="7" t="n">
        <v>1</v>
      </c>
      <c r="D21" s="7" t="n">
        <v>93</v>
      </c>
      <c r="E21" s="7" t="n">
        <v>201</v>
      </c>
      <c r="F21" s="7" t="n"/>
      <c r="G21" s="7" t="n"/>
      <c r="H21" s="7" t="n"/>
      <c r="I21" s="7" t="n"/>
    </row>
    <row r="22">
      <c r="C22" s="7" t="n">
        <v>2</v>
      </c>
      <c r="D22" s="7" t="n">
        <v>0</v>
      </c>
      <c r="E22" s="7" t="n">
        <v>199</v>
      </c>
      <c r="F22" s="7">
        <f>AVERAGE(E22:E24)</f>
        <v/>
      </c>
      <c r="G22" s="7" t="n"/>
      <c r="H22" s="7">
        <f>MAX(E22:E24)-MIN(E22:E24)</f>
        <v/>
      </c>
      <c r="I22" s="7" t="n"/>
    </row>
    <row r="23">
      <c r="C23" s="7" t="n">
        <v>2</v>
      </c>
      <c r="D23" s="7" t="n">
        <v>45</v>
      </c>
      <c r="E23" s="7" t="n">
        <v>200</v>
      </c>
      <c r="F23" s="7" t="n"/>
      <c r="G23" s="7" t="n"/>
      <c r="H23" s="7" t="n"/>
      <c r="I23" s="7" t="n"/>
    </row>
    <row r="24">
      <c r="C24" s="7" t="n">
        <v>2</v>
      </c>
      <c r="D24" s="7" t="n">
        <v>93</v>
      </c>
      <c r="E24" s="7" t="n">
        <v>201</v>
      </c>
      <c r="F24" s="7" t="n"/>
      <c r="G24" s="7" t="n"/>
      <c r="H24" s="7" t="n"/>
      <c r="I24" s="7" t="n"/>
    </row>
    <row r="25">
      <c r="C25" s="7" t="n">
        <v>3</v>
      </c>
      <c r="D25" s="7" t="n">
        <v>0</v>
      </c>
      <c r="E25" s="7" t="n">
        <v>199</v>
      </c>
      <c r="F25" s="7">
        <f>AVERAGE(E25:E27)</f>
        <v/>
      </c>
      <c r="G25" s="7" t="n"/>
      <c r="H25" s="7">
        <f>MAX(E25:E27)-MIN(E25:E27)</f>
        <v/>
      </c>
      <c r="I25" s="7" t="n"/>
    </row>
    <row r="26">
      <c r="C26" s="7" t="n">
        <v>3</v>
      </c>
      <c r="D26" s="7" t="n">
        <v>45</v>
      </c>
      <c r="E26" s="7" t="n">
        <v>200</v>
      </c>
      <c r="F26" s="7" t="n"/>
      <c r="G26" s="7" t="n"/>
      <c r="H26" s="7" t="n"/>
      <c r="I26" s="7" t="n"/>
    </row>
    <row r="27">
      <c r="C27" s="7" t="n">
        <v>3</v>
      </c>
      <c r="D27" s="7" t="n">
        <v>93</v>
      </c>
      <c r="E27" s="7" t="n">
        <v>201</v>
      </c>
      <c r="F27" s="7" t="n"/>
      <c r="G27" s="7" t="n"/>
      <c r="H27" s="7" t="n"/>
      <c r="I27" s="7" t="n"/>
    </row>
    <row r="28">
      <c r="C28" s="7" t="n">
        <v>4</v>
      </c>
      <c r="D28" s="7" t="n">
        <v>0</v>
      </c>
      <c r="E28" s="7" t="n">
        <v>199</v>
      </c>
      <c r="F28" s="7">
        <f>AVERAGE(E28:E30)</f>
        <v/>
      </c>
      <c r="G28" s="7" t="n"/>
      <c r="H28" s="7">
        <f>MAX(E28:E30)-MIN(E28:E30)</f>
        <v/>
      </c>
      <c r="I28" s="7" t="n"/>
    </row>
    <row r="29">
      <c r="C29" s="7" t="n">
        <v>4</v>
      </c>
      <c r="D29" s="7" t="n">
        <v>45</v>
      </c>
      <c r="E29" s="7" t="n">
        <v>200</v>
      </c>
      <c r="F29" s="7" t="n"/>
      <c r="G29" s="7" t="n"/>
      <c r="H29" s="7" t="n"/>
      <c r="I29" s="7" t="n"/>
    </row>
    <row r="30">
      <c r="C30" s="7" t="n">
        <v>4</v>
      </c>
      <c r="D30" s="7" t="n">
        <v>93</v>
      </c>
      <c r="E30" s="7" t="n">
        <v>201</v>
      </c>
      <c r="F30" s="7" t="n"/>
      <c r="G30" s="7" t="n"/>
      <c r="H30" s="7" t="n"/>
      <c r="I30" s="7" t="n"/>
    </row>
    <row r="31">
      <c r="C31" s="7" t="n">
        <v>5</v>
      </c>
      <c r="D31" s="7" t="n">
        <v>0</v>
      </c>
      <c r="E31" s="7" t="n">
        <v>199</v>
      </c>
      <c r="F31" s="7">
        <f>AVERAGE(E31:E33)</f>
        <v/>
      </c>
      <c r="G31" s="7" t="n"/>
      <c r="H31" s="7">
        <f>MAX(E31:E33)-MIN(E31:E33)</f>
        <v/>
      </c>
      <c r="I31" s="7" t="n"/>
    </row>
    <row r="32">
      <c r="C32" s="7" t="n">
        <v>5</v>
      </c>
      <c r="D32" s="7" t="n">
        <v>45</v>
      </c>
      <c r="E32" s="7" t="n">
        <v>200</v>
      </c>
      <c r="F32" s="7" t="n"/>
      <c r="G32" s="7" t="n"/>
      <c r="H32" s="7" t="n"/>
      <c r="I32" s="7" t="n"/>
    </row>
    <row r="33">
      <c r="C33" s="7" t="n">
        <v>5</v>
      </c>
      <c r="D33" s="7" t="n">
        <v>93</v>
      </c>
      <c r="E33" s="7" t="n">
        <v>201</v>
      </c>
      <c r="F33" s="7" t="n"/>
      <c r="G33" s="7" t="n"/>
      <c r="H33" s="7" t="n"/>
      <c r="I33" s="7" t="n"/>
    </row>
    <row r="34">
      <c r="B34" s="13" t="inlineStr">
        <is>
          <t>V3103</t>
        </is>
      </c>
      <c r="C34" s="7" t="n">
        <v>1</v>
      </c>
      <c r="D34" s="7" t="n">
        <v>0</v>
      </c>
      <c r="E34" s="7" t="n">
        <v>199</v>
      </c>
      <c r="F34" s="7">
        <f>AVERAGE(E34:E36)</f>
        <v/>
      </c>
      <c r="G34" s="7">
        <f>AVERAGE(F34:F46)</f>
        <v/>
      </c>
      <c r="H34" s="7">
        <f>MAX(E34:E36)-MIN(E34:E36)</f>
        <v/>
      </c>
      <c r="I34" s="7">
        <f>MAX(F34:F46)-MIN(F34:F46)</f>
        <v/>
      </c>
    </row>
    <row r="35">
      <c r="B35" s="13" t="n"/>
      <c r="C35" s="7" t="n">
        <v>1</v>
      </c>
      <c r="D35" s="7" t="n">
        <v>45</v>
      </c>
      <c r="E35" s="7" t="n">
        <v>200</v>
      </c>
      <c r="F35" s="7" t="n"/>
      <c r="G35" s="7" t="n"/>
      <c r="H35" s="7" t="n"/>
      <c r="I35" s="7" t="n"/>
    </row>
    <row r="36">
      <c r="B36" s="13" t="n"/>
      <c r="C36" s="7" t="n">
        <v>1</v>
      </c>
      <c r="D36" s="7" t="n">
        <v>93</v>
      </c>
      <c r="E36" s="7" t="n">
        <v>201</v>
      </c>
      <c r="F36" s="7" t="n"/>
      <c r="G36" s="7" t="n"/>
      <c r="H36" s="7" t="n"/>
      <c r="I36" s="7" t="n"/>
    </row>
    <row r="37">
      <c r="C37" s="7" t="n">
        <v>2</v>
      </c>
      <c r="D37" s="7" t="n">
        <v>0</v>
      </c>
      <c r="E37" s="7" t="n">
        <v>199</v>
      </c>
      <c r="F37" s="7">
        <f>AVERAGE(E37:E39)</f>
        <v/>
      </c>
      <c r="G37" s="7" t="n"/>
      <c r="H37" s="7">
        <f>MAX(E37:E39)-MIN(E37:E39)</f>
        <v/>
      </c>
      <c r="I37" s="7" t="n"/>
    </row>
    <row r="38">
      <c r="C38" s="7" t="n">
        <v>2</v>
      </c>
      <c r="D38" s="7" t="n">
        <v>45</v>
      </c>
      <c r="E38" s="7" t="n">
        <v>200</v>
      </c>
      <c r="F38" s="7" t="n"/>
      <c r="G38" s="7" t="n"/>
      <c r="H38" s="7" t="n"/>
      <c r="I38" s="7" t="n"/>
    </row>
    <row r="39">
      <c r="C39" s="7" t="n">
        <v>2</v>
      </c>
      <c r="D39" s="7" t="n">
        <v>93</v>
      </c>
      <c r="E39" s="7" t="n">
        <v>201</v>
      </c>
      <c r="F39" s="7" t="n"/>
      <c r="G39" s="7" t="n"/>
      <c r="H39" s="7" t="n"/>
      <c r="I39" s="7" t="n"/>
    </row>
    <row r="40">
      <c r="C40" s="7" t="n">
        <v>3</v>
      </c>
      <c r="D40" s="7" t="n">
        <v>0</v>
      </c>
      <c r="E40" s="7" t="n">
        <v>199</v>
      </c>
      <c r="F40" s="7">
        <f>AVERAGE(E40:E42)</f>
        <v/>
      </c>
      <c r="G40" s="7" t="n"/>
      <c r="H40" s="7">
        <f>MAX(E40:E42)-MIN(E40:E42)</f>
        <v/>
      </c>
      <c r="I40" s="7" t="n"/>
    </row>
    <row r="41">
      <c r="C41" s="7" t="n">
        <v>3</v>
      </c>
      <c r="D41" s="7" t="n">
        <v>45</v>
      </c>
      <c r="E41" s="7" t="n">
        <v>200</v>
      </c>
      <c r="F41" s="7" t="n"/>
      <c r="G41" s="7" t="n"/>
      <c r="H41" s="7" t="n"/>
      <c r="I41" s="7" t="n"/>
    </row>
    <row r="42">
      <c r="C42" s="7" t="n">
        <v>3</v>
      </c>
      <c r="D42" s="7" t="n">
        <v>93</v>
      </c>
      <c r="E42" s="7" t="n">
        <v>201</v>
      </c>
      <c r="F42" s="7" t="n"/>
      <c r="G42" s="7" t="n"/>
      <c r="H42" s="7" t="n"/>
      <c r="I42" s="7" t="n"/>
    </row>
    <row r="43">
      <c r="C43" s="7" t="n">
        <v>4</v>
      </c>
      <c r="D43" s="7" t="n">
        <v>0</v>
      </c>
      <c r="E43" s="7" t="n">
        <v>199</v>
      </c>
      <c r="F43" s="7">
        <f>AVERAGE(E43:E45)</f>
        <v/>
      </c>
      <c r="G43" s="7" t="n"/>
      <c r="H43" s="7">
        <f>MAX(E43:E45)-MIN(E43:E45)</f>
        <v/>
      </c>
      <c r="I43" s="7" t="n"/>
    </row>
    <row r="44">
      <c r="C44" s="7" t="n">
        <v>4</v>
      </c>
      <c r="D44" s="7" t="n">
        <v>45</v>
      </c>
      <c r="E44" s="7" t="n">
        <v>200</v>
      </c>
      <c r="F44" s="7" t="n"/>
      <c r="G44" s="7" t="n"/>
      <c r="H44" s="7" t="n"/>
      <c r="I44" s="7" t="n"/>
    </row>
    <row r="45">
      <c r="C45" s="7" t="n">
        <v>4</v>
      </c>
      <c r="D45" s="7" t="n">
        <v>93</v>
      </c>
      <c r="E45" s="7" t="n">
        <v>201</v>
      </c>
      <c r="F45" s="7" t="n"/>
      <c r="G45" s="7" t="n"/>
      <c r="H45" s="7" t="n"/>
      <c r="I45" s="7" t="n"/>
    </row>
    <row r="46">
      <c r="C46" s="7" t="n">
        <v>5</v>
      </c>
      <c r="D46" s="7" t="n">
        <v>0</v>
      </c>
      <c r="E46" s="7" t="n">
        <v>199</v>
      </c>
      <c r="F46" s="7">
        <f>AVERAGE(E46:E48)</f>
        <v/>
      </c>
      <c r="G46" s="7" t="n"/>
      <c r="H46" s="7">
        <f>MAX(E46:E48)-MIN(E46:E48)</f>
        <v/>
      </c>
      <c r="I46" s="7" t="n"/>
    </row>
    <row r="47">
      <c r="C47" s="7" t="n">
        <v>5</v>
      </c>
      <c r="D47" s="7" t="n">
        <v>45</v>
      </c>
      <c r="E47" s="7" t="n">
        <v>200</v>
      </c>
      <c r="F47" s="7" t="n"/>
      <c r="G47" s="7" t="n"/>
      <c r="H47" s="7" t="n"/>
      <c r="I47" s="7" t="n"/>
    </row>
    <row r="48">
      <c r="C48" s="7" t="n">
        <v>5</v>
      </c>
      <c r="D48" s="7" t="n">
        <v>93</v>
      </c>
      <c r="E48" s="7" t="n">
        <v>201</v>
      </c>
      <c r="F48" s="7" t="n"/>
      <c r="G48" s="7" t="n"/>
      <c r="H48" s="7" t="n"/>
      <c r="I48" s="7" t="n"/>
    </row>
  </sheetData>
  <mergeCells count="5">
    <mergeCell ref="B4:B6"/>
    <mergeCell ref="B34:B36"/>
    <mergeCell ref="B19:B21"/>
    <mergeCell ref="K3:M3"/>
    <mergeCell ref="K7:M7"/>
  </mergeCells>
  <conditionalFormatting sqref="F4">
    <cfRule type="cellIs" priority="1" operator="between" dxfId="0" stopIfTrue="1">
      <formula>17.55</formula>
      <formula>19.91</formula>
    </cfRule>
    <cfRule type="cellIs" priority="2" operator="notBetween" dxfId="1" stopIfTrue="1">
      <formula>17.55</formula>
      <formula>19.91</formula>
    </cfRule>
  </conditionalFormatting>
  <conditionalFormatting sqref="F7">
    <cfRule type="cellIs" priority="3" operator="between" dxfId="0" stopIfTrue="1">
      <formula>17.55</formula>
      <formula>19.91</formula>
    </cfRule>
    <cfRule type="cellIs" priority="4" operator="notBetween" dxfId="1" stopIfTrue="1">
      <formula>17.55</formula>
      <formula>19.91</formula>
    </cfRule>
  </conditionalFormatting>
  <conditionalFormatting sqref="F10">
    <cfRule type="cellIs" priority="5" operator="between" dxfId="0" stopIfTrue="1">
      <formula>17.55</formula>
      <formula>19.91</formula>
    </cfRule>
    <cfRule type="cellIs" priority="6" operator="notBetween" dxfId="1" stopIfTrue="1">
      <formula>17.55</formula>
      <formula>19.91</formula>
    </cfRule>
  </conditionalFormatting>
  <conditionalFormatting sqref="F13">
    <cfRule type="cellIs" priority="7" operator="between" dxfId="0" stopIfTrue="1">
      <formula>17.55</formula>
      <formula>19.91</formula>
    </cfRule>
    <cfRule type="cellIs" priority="8" operator="notBetween" dxfId="1" stopIfTrue="1">
      <formula>17.55</formula>
      <formula>19.91</formula>
    </cfRule>
  </conditionalFormatting>
  <conditionalFormatting sqref="F16">
    <cfRule type="cellIs" priority="9" operator="between" dxfId="0" stopIfTrue="1">
      <formula>17.55</formula>
      <formula>19.91</formula>
    </cfRule>
    <cfRule type="cellIs" priority="10" operator="notBetween" dxfId="1" stopIfTrue="1">
      <formula>17.55</formula>
      <formula>19.91</formula>
    </cfRule>
  </conditionalFormatting>
  <conditionalFormatting sqref="F19">
    <cfRule type="cellIs" priority="11" operator="between" dxfId="0" stopIfTrue="1">
      <formula>17.55</formula>
      <formula>19.91</formula>
    </cfRule>
    <cfRule type="cellIs" priority="12" operator="notBetween" dxfId="1" stopIfTrue="1">
      <formula>17.55</formula>
      <formula>19.91</formula>
    </cfRule>
  </conditionalFormatting>
  <conditionalFormatting sqref="F22">
    <cfRule type="cellIs" priority="13" operator="between" dxfId="0" stopIfTrue="1">
      <formula>17.55</formula>
      <formula>19.91</formula>
    </cfRule>
    <cfRule type="cellIs" priority="14" operator="notBetween" dxfId="1" stopIfTrue="1">
      <formula>17.55</formula>
      <formula>19.91</formula>
    </cfRule>
  </conditionalFormatting>
  <conditionalFormatting sqref="F25">
    <cfRule type="cellIs" priority="15" operator="between" dxfId="0" stopIfTrue="1">
      <formula>17.55</formula>
      <formula>19.91</formula>
    </cfRule>
    <cfRule type="cellIs" priority="16" operator="notBetween" dxfId="1" stopIfTrue="1">
      <formula>17.55</formula>
      <formula>19.91</formula>
    </cfRule>
  </conditionalFormatting>
  <conditionalFormatting sqref="F28">
    <cfRule type="cellIs" priority="17" operator="between" dxfId="0" stopIfTrue="1">
      <formula>17.55</formula>
      <formula>19.91</formula>
    </cfRule>
    <cfRule type="cellIs" priority="18" operator="notBetween" dxfId="1" stopIfTrue="1">
      <formula>17.55</formula>
      <formula>19.91</formula>
    </cfRule>
  </conditionalFormatting>
  <conditionalFormatting sqref="F31">
    <cfRule type="cellIs" priority="19" operator="between" dxfId="0" stopIfTrue="1">
      <formula>17.55</formula>
      <formula>19.91</formula>
    </cfRule>
    <cfRule type="cellIs" priority="20" operator="notBetween" dxfId="1" stopIfTrue="1">
      <formula>17.55</formula>
      <formula>19.91</formula>
    </cfRule>
  </conditionalFormatting>
  <conditionalFormatting sqref="F34">
    <cfRule type="cellIs" priority="21" operator="between" dxfId="0" stopIfTrue="1">
      <formula>17.55</formula>
      <formula>19.91</formula>
    </cfRule>
    <cfRule type="cellIs" priority="22" operator="notBetween" dxfId="1" stopIfTrue="1">
      <formula>17.55</formula>
      <formula>19.91</formula>
    </cfRule>
  </conditionalFormatting>
  <conditionalFormatting sqref="F37">
    <cfRule type="cellIs" priority="23" operator="between" dxfId="0" stopIfTrue="1">
      <formula>17.55</formula>
      <formula>19.91</formula>
    </cfRule>
    <cfRule type="cellIs" priority="24" operator="notBetween" dxfId="1" stopIfTrue="1">
      <formula>17.55</formula>
      <formula>19.91</formula>
    </cfRule>
  </conditionalFormatting>
  <conditionalFormatting sqref="F40">
    <cfRule type="cellIs" priority="25" operator="between" dxfId="0" stopIfTrue="1">
      <formula>17.55</formula>
      <formula>19.91</formula>
    </cfRule>
    <cfRule type="cellIs" priority="26" operator="notBetween" dxfId="1" stopIfTrue="1">
      <formula>17.55</formula>
      <formula>19.91</formula>
    </cfRule>
  </conditionalFormatting>
  <conditionalFormatting sqref="F43">
    <cfRule type="cellIs" priority="27" operator="between" dxfId="0" stopIfTrue="1">
      <formula>17.55</formula>
      <formula>19.91</formula>
    </cfRule>
    <cfRule type="cellIs" priority="28" operator="notBetween" dxfId="1" stopIfTrue="1">
      <formula>17.55</formula>
      <formula>19.91</formula>
    </cfRule>
  </conditionalFormatting>
  <conditionalFormatting sqref="F46">
    <cfRule type="cellIs" priority="29" operator="between" dxfId="0" stopIfTrue="1">
      <formula>17.55</formula>
      <formula>19.91</formula>
    </cfRule>
    <cfRule type="cellIs" priority="30" operator="notBetween" dxfId="1" stopIfTrue="1">
      <formula>17.55</formula>
      <formula>19.91</formula>
    </cfRule>
  </conditionalFormatting>
  <conditionalFormatting sqref="G4">
    <cfRule type="cellIs" priority="31" operator="between" dxfId="0" stopIfTrue="1">
      <formula>17.55</formula>
      <formula>19.91</formula>
    </cfRule>
    <cfRule type="cellIs" priority="32" operator="notBetween" dxfId="1" stopIfTrue="1">
      <formula>17.55</formula>
      <formula>19.91</formula>
    </cfRule>
  </conditionalFormatting>
  <conditionalFormatting sqref="G19">
    <cfRule type="cellIs" priority="33" operator="between" dxfId="0" stopIfTrue="1">
      <formula>17.55</formula>
      <formula>19.91</formula>
    </cfRule>
    <cfRule type="cellIs" priority="34" operator="notBetween" dxfId="1" stopIfTrue="1">
      <formula>17.55</formula>
      <formula>19.91</formula>
    </cfRule>
  </conditionalFormatting>
  <conditionalFormatting sqref="G34">
    <cfRule type="cellIs" priority="35" operator="between" dxfId="0" stopIfTrue="1">
      <formula>17.55</formula>
      <formula>19.91</formula>
    </cfRule>
    <cfRule type="cellIs" priority="36" operator="notBetween" dxfId="1" stopIfTrue="1">
      <formula>17.55</formula>
      <formula>19.91</formula>
    </cfRule>
  </conditionalFormatting>
  <conditionalFormatting sqref="H4">
    <cfRule type="cellIs" priority="37" operator="lessThanOrEqual" dxfId="0" stopIfTrue="1">
      <formula>0.769</formula>
    </cfRule>
    <cfRule type="cellIs" priority="38" operator="greaterThan" dxfId="1" stopIfTrue="1">
      <formula>0.769</formula>
    </cfRule>
  </conditionalFormatting>
  <conditionalFormatting sqref="H7">
    <cfRule type="cellIs" priority="39" operator="lessThanOrEqual" dxfId="0" stopIfTrue="1">
      <formula>0.769</formula>
    </cfRule>
    <cfRule type="cellIs" priority="40" operator="greaterThan" dxfId="1" stopIfTrue="1">
      <formula>0.769</formula>
    </cfRule>
  </conditionalFormatting>
  <conditionalFormatting sqref="H10">
    <cfRule type="cellIs" priority="41" operator="lessThanOrEqual" dxfId="0" stopIfTrue="1">
      <formula>0.769</formula>
    </cfRule>
    <cfRule type="cellIs" priority="42" operator="greaterThan" dxfId="1" stopIfTrue="1">
      <formula>0.769</formula>
    </cfRule>
  </conditionalFormatting>
  <conditionalFormatting sqref="H13">
    <cfRule type="cellIs" priority="43" operator="lessThanOrEqual" dxfId="0" stopIfTrue="1">
      <formula>0.769</formula>
    </cfRule>
    <cfRule type="cellIs" priority="44" operator="greaterThan" dxfId="1" stopIfTrue="1">
      <formula>0.769</formula>
    </cfRule>
  </conditionalFormatting>
  <conditionalFormatting sqref="H16">
    <cfRule type="cellIs" priority="45" operator="lessThanOrEqual" dxfId="0" stopIfTrue="1">
      <formula>0.769</formula>
    </cfRule>
    <cfRule type="cellIs" priority="46" operator="greaterThan" dxfId="1" stopIfTrue="1">
      <formula>0.769</formula>
    </cfRule>
  </conditionalFormatting>
  <conditionalFormatting sqref="H19">
    <cfRule type="cellIs" priority="47" operator="lessThanOrEqual" dxfId="0" stopIfTrue="1">
      <formula>0.769</formula>
    </cfRule>
    <cfRule type="cellIs" priority="48" operator="greaterThan" dxfId="1" stopIfTrue="1">
      <formula>0.769</formula>
    </cfRule>
  </conditionalFormatting>
  <conditionalFormatting sqref="H22">
    <cfRule type="cellIs" priority="49" operator="lessThanOrEqual" dxfId="0" stopIfTrue="1">
      <formula>0.769</formula>
    </cfRule>
    <cfRule type="cellIs" priority="50" operator="greaterThan" dxfId="1" stopIfTrue="1">
      <formula>0.769</formula>
    </cfRule>
  </conditionalFormatting>
  <conditionalFormatting sqref="H25">
    <cfRule type="cellIs" priority="51" operator="lessThanOrEqual" dxfId="0" stopIfTrue="1">
      <formula>0.769</formula>
    </cfRule>
    <cfRule type="cellIs" priority="52" operator="greaterThan" dxfId="1" stopIfTrue="1">
      <formula>0.769</formula>
    </cfRule>
  </conditionalFormatting>
  <conditionalFormatting sqref="H28">
    <cfRule type="cellIs" priority="53" operator="lessThanOrEqual" dxfId="0" stopIfTrue="1">
      <formula>0.769</formula>
    </cfRule>
    <cfRule type="cellIs" priority="54" operator="greaterThan" dxfId="1" stopIfTrue="1">
      <formula>0.769</formula>
    </cfRule>
  </conditionalFormatting>
  <conditionalFormatting sqref="H31">
    <cfRule type="cellIs" priority="55" operator="lessThanOrEqual" dxfId="0" stopIfTrue="1">
      <formula>0.769</formula>
    </cfRule>
    <cfRule type="cellIs" priority="56" operator="greaterThan" dxfId="1" stopIfTrue="1">
      <formula>0.769</formula>
    </cfRule>
  </conditionalFormatting>
  <conditionalFormatting sqref="H34">
    <cfRule type="cellIs" priority="57" operator="lessThanOrEqual" dxfId="0" stopIfTrue="1">
      <formula>0.769</formula>
    </cfRule>
    <cfRule type="cellIs" priority="58" operator="greaterThan" dxfId="1" stopIfTrue="1">
      <formula>0.769</formula>
    </cfRule>
  </conditionalFormatting>
  <conditionalFormatting sqref="H37">
    <cfRule type="cellIs" priority="59" operator="lessThanOrEqual" dxfId="0" stopIfTrue="1">
      <formula>0.769</formula>
    </cfRule>
    <cfRule type="cellIs" priority="60" operator="greaterThan" dxfId="1" stopIfTrue="1">
      <formula>0.769</formula>
    </cfRule>
  </conditionalFormatting>
  <conditionalFormatting sqref="H40">
    <cfRule type="cellIs" priority="61" operator="lessThanOrEqual" dxfId="0" stopIfTrue="1">
      <formula>0.769</formula>
    </cfRule>
    <cfRule type="cellIs" priority="62" operator="greaterThan" dxfId="1" stopIfTrue="1">
      <formula>0.769</formula>
    </cfRule>
  </conditionalFormatting>
  <conditionalFormatting sqref="H43">
    <cfRule type="cellIs" priority="63" operator="lessThanOrEqual" dxfId="0" stopIfTrue="1">
      <formula>0.769</formula>
    </cfRule>
    <cfRule type="cellIs" priority="64" operator="greaterThan" dxfId="1" stopIfTrue="1">
      <formula>0.769</formula>
    </cfRule>
  </conditionalFormatting>
  <conditionalFormatting sqref="H46">
    <cfRule type="cellIs" priority="65" operator="lessThanOrEqual" dxfId="0" stopIfTrue="1">
      <formula>0.769</formula>
    </cfRule>
    <cfRule type="cellIs" priority="66" operator="greaterThan" dxfId="1" stopIfTrue="1">
      <formula>0.769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2026-10-17T17:47:04Z</dcterms:created>
  <dcterms:modified xsi:type="dcterms:W3CDTF">2026-10-17T17:47:04Z</dcterms:modified>
</cp:coreProperties>
</file>